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24226"/>
  <mc:AlternateContent xmlns:mc="http://schemas.openxmlformats.org/markup-compatibility/2006">
    <mc:Choice Requires="x15">
      <x15ac:absPath xmlns:x15ac="http://schemas.microsoft.com/office/spreadsheetml/2010/11/ac" url="https://d.docs.live.net/72feb5a4d0d91f7b/Desktop/Data Analytics Excel Projects/New folder/"/>
    </mc:Choice>
  </mc:AlternateContent>
  <xr:revisionPtr revIDLastSave="4" documentId="8_{07D43651-E729-42F7-843B-7A0FA17BD8A1}" xr6:coauthVersionLast="47" xr6:coauthVersionMax="47" xr10:uidLastSave="{44534700-51E7-4E35-8A6E-563CC4C79DA3}"/>
  <bookViews>
    <workbookView xWindow="-110" yWindow="-110" windowWidth="19420" windowHeight="10300" firstSheet="1" activeTab="3" xr2:uid="{00000000-000D-0000-FFFF-FFFF00000000}"/>
  </bookViews>
  <sheets>
    <sheet name="Sheet1" sheetId="1" r:id="rId1"/>
    <sheet name="questions" sheetId="2" r:id="rId2"/>
    <sheet name="pivot table" sheetId="3" r:id="rId3"/>
    <sheet name="dashboard" sheetId="7" r:id="rId4"/>
  </sheets>
  <definedNames>
    <definedName name="Slicer_Location">#N/A</definedName>
    <definedName name="Slicer_Months">#N/A</definedName>
    <definedName name="Slicer_Product">#N/A</definedName>
    <definedName name="Slicer_Product_Category">#N/A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3" l="1"/>
  <c r="G6" i="3"/>
  <c r="F6" i="3"/>
  <c r="E6" i="3"/>
  <c r="C10" i="3"/>
  <c r="C58" i="3"/>
  <c r="C41" i="3"/>
  <c r="C33" i="3"/>
  <c r="C16" i="3"/>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3" i="1"/>
  <c r="I4" i="1"/>
  <c r="I5" i="1"/>
  <c r="I6" i="1"/>
  <c r="I7" i="1"/>
  <c r="I8" i="1"/>
  <c r="I9" i="1"/>
  <c r="I10" i="1"/>
  <c r="I2" i="1"/>
  <c r="C32" i="3"/>
</calcChain>
</file>

<file path=xl/sharedStrings.xml><?xml version="1.0" encoding="utf-8"?>
<sst xmlns="http://schemas.openxmlformats.org/spreadsheetml/2006/main" count="1585" uniqueCount="54">
  <si>
    <t>Date</t>
  </si>
  <si>
    <t>Location</t>
  </si>
  <si>
    <t>Product Category</t>
  </si>
  <si>
    <t>Product</t>
  </si>
  <si>
    <t>Quantity Sold</t>
  </si>
  <si>
    <t>Unit Price (NGN)</t>
  </si>
  <si>
    <t>Total Sales (NGN)</t>
  </si>
  <si>
    <t>Profit (NGN)</t>
  </si>
  <si>
    <t>Ajah</t>
  </si>
  <si>
    <t>Surulere</t>
  </si>
  <si>
    <t>Lekki</t>
  </si>
  <si>
    <t>Victoria Island</t>
  </si>
  <si>
    <t>Yaba</t>
  </si>
  <si>
    <t>Ikeja</t>
  </si>
  <si>
    <t>Meals</t>
  </si>
  <si>
    <t>Drinks</t>
  </si>
  <si>
    <t>Snacks</t>
  </si>
  <si>
    <t>Desserts</t>
  </si>
  <si>
    <t>Spicy Rice &amp; Chicken</t>
  </si>
  <si>
    <t>Jollof Rice Combo</t>
  </si>
  <si>
    <t>Refuel Regular</t>
  </si>
  <si>
    <t>Refuel Max</t>
  </si>
  <si>
    <t>Coke</t>
  </si>
  <si>
    <t>Water</t>
  </si>
  <si>
    <t>Fanta</t>
  </si>
  <si>
    <t>Sausage Roll</t>
  </si>
  <si>
    <t>Chicken Pie</t>
  </si>
  <si>
    <t>Cake Slice</t>
  </si>
  <si>
    <t>Ice Cream</t>
  </si>
  <si>
    <t>Meat Pie</t>
  </si>
  <si>
    <t>Juice</t>
  </si>
  <si>
    <t>Cost</t>
  </si>
  <si>
    <t xml:space="preserve">which location is making the most profit ? </t>
  </si>
  <si>
    <t>what percentage of our sales is actual profit?</t>
  </si>
  <si>
    <t>which meal sells in the highest volume</t>
  </si>
  <si>
    <t>Which overall menu category drives the bulk of our revenue?</t>
  </si>
  <si>
    <t>What is our single top-selling item by total revenue?</t>
  </si>
  <si>
    <t>Which specific meal sells the highest quantity of units</t>
  </si>
  <si>
    <t>Sum of Total Sales (NGN)</t>
  </si>
  <si>
    <t>Row Labels</t>
  </si>
  <si>
    <t>Grand Total</t>
  </si>
  <si>
    <t>Sum of Profit (NGN)</t>
  </si>
  <si>
    <t>Overall Profit margin %</t>
  </si>
  <si>
    <t>Sum of Quantity Sold</t>
  </si>
  <si>
    <t>Jan</t>
  </si>
  <si>
    <t>Feb</t>
  </si>
  <si>
    <t>Mar</t>
  </si>
  <si>
    <t>Apr</t>
  </si>
  <si>
    <t>May</t>
  </si>
  <si>
    <t>Jun</t>
  </si>
  <si>
    <t>profit</t>
  </si>
  <si>
    <t>revenue total</t>
  </si>
  <si>
    <t>margin</t>
  </si>
  <si>
    <t>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</si>
</sst>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3" formatCode="&quot;₦&quot;#,##0.00"/>
    <numFmt numFmtId="175" formatCode="&quot;₦&quot;#,##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Alignment="1"/>
    <xf numFmtId="0" fontId="2" fillId="0" borderId="0" xfId="0" applyFont="1"/>
    <xf numFmtId="173" fontId="1" fillId="0" borderId="1" xfId="0" applyNumberFormat="1" applyFont="1" applyBorder="1" applyAlignment="1">
      <alignment horizontal="center" vertical="top"/>
    </xf>
    <xf numFmtId="173" fontId="0" fillId="0" borderId="0" xfId="0" applyNumberFormat="1"/>
    <xf numFmtId="173" fontId="1" fillId="0" borderId="2" xfId="0" applyNumberFormat="1"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175" fontId="0" fillId="0" borderId="0" xfId="0" applyNumberFormat="1"/>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579">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numFmt numFmtId="13" formatCode="0%"/>
    </dxf>
    <dxf>
      <numFmt numFmtId="13" formatCode="0%"/>
    </dxf>
    <dxf>
      <numFmt numFmtId="13" formatCode="0%"/>
    </dxf>
    <dxf>
      <numFmt numFmtId="13" formatCode="0%"/>
    </dxf>
    <dxf>
      <numFmt numFmtId="13" formatCode="0%"/>
    </dxf>
    <dxf>
      <numFmt numFmtId="13" formatCode="0%"/>
    </dxf>
    <dxf>
      <numFmt numFmtId="175" formatCode="&quot;₦&quot;#,##0"/>
    </dxf>
    <dxf>
      <numFmt numFmtId="175" formatCode="&quot;₦&quot;#,##0"/>
    </dxf>
    <dxf>
      <numFmt numFmtId="175" formatCode="&quot;₦&quot;#,##0"/>
    </dxf>
    <dxf>
      <numFmt numFmtId="175" formatCode="&quot;₦&quot;#,##0"/>
    </dxf>
    <dxf>
      <numFmt numFmtId="175" formatCode="&quot;₦&quot;#,##0"/>
    </dxf>
    <dxf>
      <font>
        <b/>
        <i val="0"/>
        <color theme="0"/>
      </font>
      <fill>
        <patternFill>
          <bgColor rgb="FFFFC000"/>
        </patternFill>
      </fill>
      <border>
        <top style="thin">
          <color rgb="FF333333"/>
        </top>
        <bottom style="thin">
          <color rgb="FF333333"/>
        </bottom>
        <vertical/>
        <horizontal/>
      </border>
    </dxf>
    <dxf>
      <font>
        <b/>
        <i val="0"/>
        <color theme="0"/>
      </font>
      <fill>
        <patternFill>
          <bgColor theme="0" tint="-0.14996795556505021"/>
        </patternFill>
      </fill>
      <border>
        <left style="thin">
          <color theme="9"/>
        </left>
        <right style="thin">
          <color theme="9"/>
        </right>
        <top style="thin">
          <color theme="9"/>
        </top>
        <bottom style="thin">
          <color theme="9"/>
        </bottom>
        <vertical/>
        <horizontal/>
      </border>
    </dxf>
    <dxf>
      <fill>
        <patternFill>
          <bgColor theme="1" tint="0.14996795556505021"/>
        </patternFill>
      </fill>
    </dxf>
  </dxfs>
  <tableStyles count="3" defaultTableStyle="TableStyleMedium9" defaultPivotStyle="PivotStyleLight16">
    <tableStyle name="chicken republic red" pivot="0" table="0" count="10" xr9:uid="{2842CAE6-17C7-48AB-B850-C664C8A760D2}">
      <tableStyleElement type="wholeTable" dxfId="577"/>
      <tableStyleElement type="headerRow" dxfId="576"/>
    </tableStyle>
    <tableStyle name="Slicer Style 1" pivot="0" table="0" count="1" xr9:uid="{CD411BF1-179C-460B-A15C-D06BDE86B31B}">
      <tableStyleElement type="wholeTable" dxfId="578"/>
    </tableStyle>
    <tableStyle name="Slicer Style 2" pivot="0" table="0" count="1" xr9:uid="{7EFCA529-6CAF-4CCB-AA26-7B4163BA3702}"/>
  </tableStyles>
  <colors>
    <mruColors>
      <color rgb="FFFF9966"/>
      <color rgb="FF333333"/>
      <color rgb="FFF1350F"/>
      <color rgb="FFF9A825"/>
      <color rgb="FFF4C828"/>
      <color rgb="FFF1DB0F"/>
      <color rgb="FFE9ECEF"/>
      <color rgb="FFDDDDDD"/>
      <color rgb="FFC41230"/>
      <color rgb="FF4F81BD"/>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F0000"/>
              </stop>
              <stop position="1">
                <color theme="5" tint="0.40000610370189521"/>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FF000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FF0000"/>
              <bgColor rgb="FFFF0000"/>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9"/>
            <color theme="0"/>
          </font>
          <fill>
            <patternFill patternType="solid">
              <fgColor auto="1"/>
              <bgColor rgb="FFFF0000"/>
            </patternFill>
          </fill>
          <border>
            <left style="thin">
              <color theme="9"/>
            </left>
            <right style="thin">
              <color theme="9"/>
            </right>
            <top style="thin">
              <color theme="9"/>
            </top>
            <bottom style="thin">
              <color theme="9"/>
            </bottom>
            <vertical/>
            <horizontal/>
          </border>
        </dxf>
        <dxf>
          <font>
            <color rgb="FF959595"/>
          </font>
          <fill>
            <patternFill patternType="solid">
              <fgColor auto="1"/>
              <bgColor rgb="FFFF0000"/>
            </patternFill>
          </fill>
          <border>
            <left style="thin">
              <color rgb="FFDFDFDF"/>
            </left>
            <right style="thin">
              <color rgb="FFDFDFDF"/>
            </right>
            <top style="thin">
              <color rgb="FFDFDFDF"/>
            </top>
            <bottom style="thin">
              <color rgb="FFDFDFDF"/>
            </bottom>
            <vertical/>
            <horizontal/>
          </border>
        </dxf>
        <dxf>
          <font>
            <color theme="0"/>
          </font>
          <fill>
            <gradientFill degree="90">
              <stop position="0">
                <color rgb="FFFF0000"/>
              </stop>
              <stop position="1">
                <color theme="5" tint="0.80001220740379042"/>
              </stop>
            </gradientFill>
          </fill>
          <border>
            <left style="thin">
              <color rgb="FFC0C0C0"/>
            </left>
            <right style="thin">
              <color rgb="FFC0C0C0"/>
            </right>
            <top style="thin">
              <color rgb="FFC0C0C0"/>
            </top>
            <bottom style="thin">
              <color rgb="FFC0C0C0"/>
            </bottom>
            <vertical/>
            <horizontal/>
          </border>
        </dxf>
        <dxf>
          <fill>
            <patternFill>
              <bgColor rgb="FFFF0000"/>
            </patternFill>
          </fill>
        </dxf>
      </x14:dxfs>
    </ext>
    <ext xmlns:x14="http://schemas.microsoft.com/office/spreadsheetml/2009/9/main" uri="{EB79DEF2-80B8-43e5-95BD-54CBDDF9020C}">
      <x14:slicerStyles defaultSlicerStyle="SlicerStyleLight1">
        <x14:slicerStyle name="chicken republic re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Elements>
            <x14:slicerStyleElement type="hoveredUn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[chicken_republic_lagos_sales_optimization.xlsx]pivot table!location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Total Profit by Branch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A8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c:f>
              <c:strCache>
                <c:ptCount val="1"/>
                <c:pt idx="0">
                  <c:v>Total</c:v>
                </c:pt>
              </c:strCache>
            </c:strRef>
          </c:tx>
          <c:spPr>
            <a:solidFill>
              <a:srgbClr val="F9A825"/>
            </a:solidFill>
            <a:ln>
              <a:noFill/>
            </a:ln>
            <a:effectLst/>
          </c:spPr>
          <c:invertIfNegative val="0"/>
          <c:cat>
            <c:strRef>
              <c:f>'pivot table'!$A$10:$A$16</c:f>
              <c:strCache>
                <c:ptCount val="6"/>
                <c:pt idx="0">
                  <c:v>Victoria Island</c:v>
                </c:pt>
                <c:pt idx="1">
                  <c:v>Ikeja</c:v>
                </c:pt>
                <c:pt idx="2">
                  <c:v>Surulere</c:v>
                </c:pt>
                <c:pt idx="3">
                  <c:v>Lekki</c:v>
                </c:pt>
                <c:pt idx="4">
                  <c:v>Ajah</c:v>
                </c:pt>
                <c:pt idx="5">
                  <c:v>Yaba</c:v>
                </c:pt>
              </c:strCache>
            </c:strRef>
          </c:cat>
          <c:val>
            <c:numRef>
              <c:f>'pivot table'!$B$10:$B$16</c:f>
              <c:numCache>
                <c:formatCode>"₦"#,##0</c:formatCode>
                <c:ptCount val="6"/>
                <c:pt idx="0">
                  <c:v>137070.65000000005</c:v>
                </c:pt>
                <c:pt idx="1">
                  <c:v>123297.00000000003</c:v>
                </c:pt>
                <c:pt idx="2">
                  <c:v>119392.78999999996</c:v>
                </c:pt>
                <c:pt idx="3">
                  <c:v>114781.80000000002</c:v>
                </c:pt>
                <c:pt idx="4">
                  <c:v>101777.09999999998</c:v>
                </c:pt>
                <c:pt idx="5">
                  <c:v>89377.830000000031</c:v>
                </c:pt>
              </c:numCache>
            </c:numRef>
          </c:val>
          <c:extLst>
            <c:ext xmlns:c16="http://schemas.microsoft.com/office/drawing/2014/chart" uri="{C3380CC4-5D6E-409C-BE32-E72D297353CC}">
              <c16:uniqueId val="{00000000-7D25-45B3-9DF4-56A39C907840}"/>
            </c:ext>
          </c:extLst>
        </c:ser>
        <c:dLbls>
          <c:showLegendKey val="0"/>
          <c:showVal val="0"/>
          <c:showCatName val="0"/>
          <c:showSerName val="0"/>
          <c:showPercent val="0"/>
          <c:showBubbleSize val="0"/>
        </c:dLbls>
        <c:gapWidth val="7"/>
        <c:overlap val="-25"/>
        <c:axId val="1428279744"/>
        <c:axId val="1428278496"/>
      </c:barChart>
      <c:catAx>
        <c:axId val="14282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78496"/>
        <c:crosses val="autoZero"/>
        <c:auto val="1"/>
        <c:lblAlgn val="ctr"/>
        <c:lblOffset val="100"/>
        <c:noMultiLvlLbl val="0"/>
      </c:catAx>
      <c:valAx>
        <c:axId val="1428278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7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[chicken_republic_lagos_sales_optimization.xlsx]pivot table!product category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Share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layout>
            <c:manualLayout>
              <c:x val="9.6590909090909088E-2"/>
              <c:y val="-7.217764388798736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1">
              <a:lumMod val="75000"/>
              <a:lumOff val="25000"/>
            </a:schemeClr>
          </a:solidFill>
          <a:ln w="19050">
            <a:solidFill>
              <a:schemeClr val="lt1"/>
            </a:solidFill>
          </a:ln>
          <a:effectLst/>
        </c:spPr>
        <c:dLbl>
          <c:idx val="0"/>
          <c:layout>
            <c:manualLayout>
              <c:x val="-0.10842560948640902"/>
              <c:y val="3.3933918991052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2">
              <a:lumMod val="60000"/>
              <a:lumOff val="40000"/>
            </a:schemeClr>
          </a:solidFill>
          <a:ln w="19050">
            <a:solidFill>
              <a:schemeClr val="lt1"/>
            </a:solidFill>
          </a:ln>
          <a:effectLst/>
        </c:spPr>
        <c:dLbl>
          <c:idx val="0"/>
          <c:layout>
            <c:manualLayout>
              <c:x val="-0.15060059693359593"/>
              <c:y val="-7.2758838179851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C000"/>
          </a:solidFill>
          <a:ln w="19050">
            <a:solidFill>
              <a:schemeClr val="lt1"/>
            </a:solidFill>
          </a:ln>
          <a:effectLst/>
        </c:spPr>
        <c:dLbl>
          <c:idx val="0"/>
          <c:layout>
            <c:manualLayout>
              <c:x val="-9.3726999112508841E-2"/>
              <c:y val="7.9966576926705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table'!$B$36</c:f>
              <c:strCache>
                <c:ptCount val="1"/>
                <c:pt idx="0">
                  <c:v>Total</c:v>
                </c:pt>
              </c:strCache>
            </c:strRef>
          </c:tx>
          <c:spPr>
            <a:solidFill>
              <a:srgbClr val="FFC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9B15-4B1A-8EEC-CD0B3E01FA2B}"/>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3-9B15-4B1A-8EEC-CD0B3E01FA2B}"/>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9B15-4B1A-8EEC-CD0B3E01FA2B}"/>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9B15-4B1A-8EEC-CD0B3E01FA2B}"/>
              </c:ext>
            </c:extLst>
          </c:dPt>
          <c:dLbls>
            <c:dLbl>
              <c:idx val="0"/>
              <c:layout>
                <c:manualLayout>
                  <c:x val="9.6590909090909088E-2"/>
                  <c:y val="-7.217764388798736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B15-4B1A-8EEC-CD0B3E01FA2B}"/>
                </c:ext>
              </c:extLst>
            </c:dLbl>
            <c:dLbl>
              <c:idx val="1"/>
              <c:layout>
                <c:manualLayout>
                  <c:x val="-0.10842560948640902"/>
                  <c:y val="3.39339189910522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B15-4B1A-8EEC-CD0B3E01FA2B}"/>
                </c:ext>
              </c:extLst>
            </c:dLbl>
            <c:dLbl>
              <c:idx val="2"/>
              <c:layout>
                <c:manualLayout>
                  <c:x val="-0.15060059693359593"/>
                  <c:y val="-7.275883817985129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B15-4B1A-8EEC-CD0B3E01FA2B}"/>
                </c:ext>
              </c:extLst>
            </c:dLbl>
            <c:dLbl>
              <c:idx val="3"/>
              <c:layout>
                <c:manualLayout>
                  <c:x val="-9.3726999112508841E-2"/>
                  <c:y val="7.996657692670561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B15-4B1A-8EEC-CD0B3E01FA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table'!$A$37:$A$41</c:f>
              <c:strCache>
                <c:ptCount val="4"/>
                <c:pt idx="0">
                  <c:v>Desserts</c:v>
                </c:pt>
                <c:pt idx="1">
                  <c:v>Meals</c:v>
                </c:pt>
                <c:pt idx="2">
                  <c:v>Snacks</c:v>
                </c:pt>
                <c:pt idx="3">
                  <c:v>Drinks</c:v>
                </c:pt>
              </c:strCache>
            </c:strRef>
          </c:cat>
          <c:val>
            <c:numRef>
              <c:f>'pivot table'!$B$37:$B$41</c:f>
              <c:numCache>
                <c:formatCode>"₦"#,##0</c:formatCode>
                <c:ptCount val="4"/>
                <c:pt idx="0">
                  <c:v>1018044.99</c:v>
                </c:pt>
                <c:pt idx="1">
                  <c:v>1005457.8200000001</c:v>
                </c:pt>
                <c:pt idx="2">
                  <c:v>986924.26000000036</c:v>
                </c:pt>
                <c:pt idx="3">
                  <c:v>936016.72999999986</c:v>
                </c:pt>
              </c:numCache>
            </c:numRef>
          </c:val>
          <c:extLst>
            <c:ext xmlns:c16="http://schemas.microsoft.com/office/drawing/2014/chart" uri="{C3380CC4-5D6E-409C-BE32-E72D297353CC}">
              <c16:uniqueId val="{00000008-9B15-4B1A-8EEC-CD0B3E01FA2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[chicken_republic_lagos_sales_optimization.xlsx]pivot table!months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Monthly Sales Trend (Jan – Jun 2024)</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table'!$E$19</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'pivot table'!$D$20:$D$26</c:f>
              <c:strCache>
                <c:ptCount val="6"/>
                <c:pt idx="0">
                  <c:v>Jan</c:v>
                </c:pt>
                <c:pt idx="1">
                  <c:v>Feb</c:v>
                </c:pt>
                <c:pt idx="2">
                  <c:v>Mar</c:v>
                </c:pt>
                <c:pt idx="3">
                  <c:v>Apr</c:v>
                </c:pt>
                <c:pt idx="4">
                  <c:v>May</c:v>
                </c:pt>
                <c:pt idx="5">
                  <c:v>Jun</c:v>
                </c:pt>
              </c:strCache>
            </c:strRef>
          </c:cat>
          <c:val>
            <c:numRef>
              <c:f>'pivot table'!$E$20:$E$26</c:f>
              <c:numCache>
                <c:formatCode>"₦"#,##0</c:formatCode>
                <c:ptCount val="6"/>
                <c:pt idx="0">
                  <c:v>602898.66999999981</c:v>
                </c:pt>
                <c:pt idx="1">
                  <c:v>655517.68999999971</c:v>
                </c:pt>
                <c:pt idx="2">
                  <c:v>696984.52</c:v>
                </c:pt>
                <c:pt idx="3">
                  <c:v>836012.88000000024</c:v>
                </c:pt>
                <c:pt idx="4">
                  <c:v>719357.41000000015</c:v>
                </c:pt>
                <c:pt idx="5">
                  <c:v>435672.63000000018</c:v>
                </c:pt>
              </c:numCache>
            </c:numRef>
          </c:val>
          <c:smooth val="0"/>
          <c:extLst>
            <c:ext xmlns:c16="http://schemas.microsoft.com/office/drawing/2014/chart" uri="{C3380CC4-5D6E-409C-BE32-E72D297353CC}">
              <c16:uniqueId val="{00000000-A6C8-4286-B6B4-7C6DF7F9F096}"/>
            </c:ext>
          </c:extLst>
        </c:ser>
        <c:dLbls>
          <c:dLblPos val="t"/>
          <c:showLegendKey val="0"/>
          <c:showVal val="0"/>
          <c:showCatName val="0"/>
          <c:showSerName val="0"/>
          <c:showPercent val="0"/>
          <c:showBubbleSize val="0"/>
        </c:dLbls>
        <c:marker val="1"/>
        <c:smooth val="0"/>
        <c:axId val="1536686032"/>
        <c:axId val="1536683536"/>
      </c:lineChart>
      <c:catAx>
        <c:axId val="1536686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683536"/>
        <c:crosses val="autoZero"/>
        <c:auto val="1"/>
        <c:lblAlgn val="ctr"/>
        <c:lblOffset val="100"/>
        <c:noMultiLvlLbl val="0"/>
      </c:catAx>
      <c:valAx>
        <c:axId val="1536683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68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[chicken_republic_lagos_sales_optimization.xlsx]pivot table!top products qty sols</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t>Top Items by Quantity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93853853124757"/>
          <c:y val="0.12878472222222223"/>
          <c:w val="0.65888195138548156"/>
          <c:h val="0.79066573709536303"/>
        </c:manualLayout>
      </c:layout>
      <c:barChart>
        <c:barDir val="bar"/>
        <c:grouping val="clustered"/>
        <c:varyColors val="0"/>
        <c:ser>
          <c:idx val="0"/>
          <c:order val="0"/>
          <c:tx>
            <c:strRef>
              <c:f>'pivot table'!$B$19</c:f>
              <c:strCache>
                <c:ptCount val="1"/>
                <c:pt idx="0">
                  <c:v>Total</c:v>
                </c:pt>
              </c:strCache>
            </c:strRef>
          </c:tx>
          <c:spPr>
            <a:solidFill>
              <a:srgbClr val="FF0000"/>
            </a:solidFill>
            <a:ln>
              <a:noFill/>
            </a:ln>
            <a:effectLst/>
          </c:spPr>
          <c:invertIfNegative val="0"/>
          <c:cat>
            <c:strRef>
              <c:f>'pivot table'!$A$20:$A$33</c:f>
              <c:strCache>
                <c:ptCount val="13"/>
                <c:pt idx="0">
                  <c:v>Ice Cream</c:v>
                </c:pt>
                <c:pt idx="1">
                  <c:v>Cake Slice</c:v>
                </c:pt>
                <c:pt idx="2">
                  <c:v>Sausage Roll</c:v>
                </c:pt>
                <c:pt idx="3">
                  <c:v>Refuel Regular</c:v>
                </c:pt>
                <c:pt idx="4">
                  <c:v>Spicy Rice &amp; Chicken</c:v>
                </c:pt>
                <c:pt idx="5">
                  <c:v>Chicken Pie</c:v>
                </c:pt>
                <c:pt idx="6">
                  <c:v>Jollof Rice Combo</c:v>
                </c:pt>
                <c:pt idx="7">
                  <c:v>Juice</c:v>
                </c:pt>
                <c:pt idx="8">
                  <c:v>Meat Pie</c:v>
                </c:pt>
                <c:pt idx="9">
                  <c:v>Water</c:v>
                </c:pt>
                <c:pt idx="10">
                  <c:v>Coke</c:v>
                </c:pt>
                <c:pt idx="11">
                  <c:v>Fanta</c:v>
                </c:pt>
                <c:pt idx="12">
                  <c:v>Refuel Max</c:v>
                </c:pt>
              </c:strCache>
            </c:strRef>
          </c:cat>
          <c:val>
            <c:numRef>
              <c:f>'pivot table'!$B$20:$B$33</c:f>
              <c:numCache>
                <c:formatCode>General</c:formatCode>
                <c:ptCount val="13"/>
                <c:pt idx="0">
                  <c:v>351</c:v>
                </c:pt>
                <c:pt idx="1">
                  <c:v>328</c:v>
                </c:pt>
                <c:pt idx="2">
                  <c:v>255</c:v>
                </c:pt>
                <c:pt idx="3">
                  <c:v>215</c:v>
                </c:pt>
                <c:pt idx="4">
                  <c:v>208</c:v>
                </c:pt>
                <c:pt idx="5">
                  <c:v>206</c:v>
                </c:pt>
                <c:pt idx="6">
                  <c:v>184</c:v>
                </c:pt>
                <c:pt idx="7">
                  <c:v>180</c:v>
                </c:pt>
                <c:pt idx="8">
                  <c:v>177</c:v>
                </c:pt>
                <c:pt idx="9">
                  <c:v>169</c:v>
                </c:pt>
                <c:pt idx="10">
                  <c:v>165</c:v>
                </c:pt>
                <c:pt idx="11">
                  <c:v>160</c:v>
                </c:pt>
                <c:pt idx="12">
                  <c:v>105</c:v>
                </c:pt>
              </c:numCache>
            </c:numRef>
          </c:val>
          <c:extLst>
            <c:ext xmlns:c16="http://schemas.microsoft.com/office/drawing/2014/chart" uri="{C3380CC4-5D6E-409C-BE32-E72D297353CC}">
              <c16:uniqueId val="{00000000-4EE5-42EF-A35B-A122D8205695}"/>
            </c:ext>
          </c:extLst>
        </c:ser>
        <c:dLbls>
          <c:showLegendKey val="0"/>
          <c:showVal val="0"/>
          <c:showCatName val="0"/>
          <c:showSerName val="0"/>
          <c:showPercent val="0"/>
          <c:showBubbleSize val="0"/>
        </c:dLbls>
        <c:gapWidth val="90"/>
        <c:axId val="1543639904"/>
        <c:axId val="1543641152"/>
      </c:barChart>
      <c:catAx>
        <c:axId val="154363990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43641152"/>
        <c:crosses val="autoZero"/>
        <c:auto val="1"/>
        <c:lblAlgn val="ctr"/>
        <c:lblOffset val="100"/>
        <c:noMultiLvlLbl val="0"/>
      </c:catAx>
      <c:valAx>
        <c:axId val="154364115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4363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117929</xdr:rowOff>
    </xdr:from>
    <xdr:to>
      <xdr:col>28</xdr:col>
      <xdr:colOff>69850</xdr:colOff>
      <xdr:row>51</xdr:row>
      <xdr:rowOff>107044</xdr:rowOff>
    </xdr:to>
    <xdr:sp macro="" textlink="">
      <xdr:nvSpPr>
        <xdr:cNvPr id="22" name="Rectangle 21">
          <a:extLst>
            <a:ext uri="{FF2B5EF4-FFF2-40B4-BE49-F238E27FC236}">
              <a16:creationId xmlns:a16="http://schemas.microsoft.com/office/drawing/2014/main" id="{19746ADC-FA20-4A8C-AC5D-79B1FE321442}"/>
            </a:ext>
          </a:extLst>
        </xdr:cNvPr>
        <xdr:cNvSpPr/>
      </xdr:nvSpPr>
      <xdr:spPr>
        <a:xfrm>
          <a:off x="0" y="662215"/>
          <a:ext cx="17169493" cy="8697686"/>
        </a:xfrm>
        <a:prstGeom prst="rect">
          <a:avLst/>
        </a:prstGeom>
        <a:solidFill>
          <a:srgbClr val="DDDD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xdr:rowOff>
    </xdr:from>
    <xdr:to>
      <xdr:col>27</xdr:col>
      <xdr:colOff>0</xdr:colOff>
      <xdr:row>3</xdr:row>
      <xdr:rowOff>105833</xdr:rowOff>
    </xdr:to>
    <xdr:sp macro="" textlink="">
      <xdr:nvSpPr>
        <xdr:cNvPr id="4" name="Rectangle 3">
          <a:extLst>
            <a:ext uri="{FF2B5EF4-FFF2-40B4-BE49-F238E27FC236}">
              <a16:creationId xmlns:a16="http://schemas.microsoft.com/office/drawing/2014/main" id="{F5231EB6-8AD9-4039-AE80-3A9131F4648D}"/>
            </a:ext>
          </a:extLst>
        </xdr:cNvPr>
        <xdr:cNvSpPr/>
      </xdr:nvSpPr>
      <xdr:spPr>
        <a:xfrm>
          <a:off x="0" y="1"/>
          <a:ext cx="16647583" cy="645582"/>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263073</xdr:colOff>
      <xdr:row>0</xdr:row>
      <xdr:rowOff>99787</xdr:rowOff>
    </xdr:from>
    <xdr:to>
      <xdr:col>17</xdr:col>
      <xdr:colOff>381000</xdr:colOff>
      <xdr:row>3</xdr:row>
      <xdr:rowOff>94043</xdr:rowOff>
    </xdr:to>
    <xdr:sp macro="" textlink="">
      <xdr:nvSpPr>
        <xdr:cNvPr id="5" name="TextBox 4">
          <a:extLst>
            <a:ext uri="{FF2B5EF4-FFF2-40B4-BE49-F238E27FC236}">
              <a16:creationId xmlns:a16="http://schemas.microsoft.com/office/drawing/2014/main" id="{53B5574F-20C0-44B6-8822-172DC1A7A135}"/>
            </a:ext>
          </a:extLst>
        </xdr:cNvPr>
        <xdr:cNvSpPr txBox="1"/>
      </xdr:nvSpPr>
      <xdr:spPr>
        <a:xfrm>
          <a:off x="1478644" y="99787"/>
          <a:ext cx="9316356" cy="538542"/>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000" b="1" u="none" strike="noStrike">
              <a:solidFill>
                <a:sysClr val="windowText" lastClr="000000"/>
              </a:solidFill>
              <a:effectLst/>
              <a:latin typeface="Book Antiqua" panose="02040602050305030304" pitchFamily="18" charset="0"/>
              <a:ea typeface="+mn-ea"/>
              <a:cs typeface="+mn-cs"/>
            </a:rPr>
            <a:t>           Chicken Republic Lagos Sales Optimization</a:t>
          </a:r>
          <a:r>
            <a:rPr lang="en-US" sz="3000" b="0" u="none" strike="noStrike">
              <a:solidFill>
                <a:sysClr val="windowText" lastClr="000000"/>
              </a:solidFill>
              <a:effectLst/>
              <a:latin typeface="Book Antiqua" panose="02040602050305030304" pitchFamily="18" charset="0"/>
              <a:ea typeface="+mn-ea"/>
              <a:cs typeface="+mn-cs"/>
            </a:rPr>
            <a:t>.</a:t>
          </a:r>
        </a:p>
        <a:p>
          <a:endParaRPr lang="en-US" sz="3000" b="1">
            <a:solidFill>
              <a:sysClr val="windowText" lastClr="000000"/>
            </a:solidFill>
            <a:latin typeface="Book Antiqua" panose="02040602050305030304" pitchFamily="18" charset="0"/>
          </a:endParaRPr>
        </a:p>
      </xdr:txBody>
    </xdr:sp>
    <xdr:clientData/>
  </xdr:twoCellAnchor>
  <xdr:twoCellAnchor>
    <xdr:from>
      <xdr:col>3</xdr:col>
      <xdr:colOff>14288</xdr:colOff>
      <xdr:row>3</xdr:row>
      <xdr:rowOff>142874</xdr:rowOff>
    </xdr:from>
    <xdr:to>
      <xdr:col>6</xdr:col>
      <xdr:colOff>127001</xdr:colOff>
      <xdr:row>9</xdr:row>
      <xdr:rowOff>82020</xdr:rowOff>
    </xdr:to>
    <xdr:sp macro="" textlink="'pivot table'!E6">
      <xdr:nvSpPr>
        <xdr:cNvPr id="12" name="Rectangle: Rounded Corners 11">
          <a:extLst>
            <a:ext uri="{FF2B5EF4-FFF2-40B4-BE49-F238E27FC236}">
              <a16:creationId xmlns:a16="http://schemas.microsoft.com/office/drawing/2014/main" id="{2664B4BB-BE95-4507-85A1-A2D4C62C03DF}"/>
            </a:ext>
          </a:extLst>
        </xdr:cNvPr>
        <xdr:cNvSpPr/>
      </xdr:nvSpPr>
      <xdr:spPr>
        <a:xfrm>
          <a:off x="1837645" y="687160"/>
          <a:ext cx="1936070" cy="1027717"/>
        </a:xfrm>
        <a:prstGeom prst="roundRect">
          <a:avLst/>
        </a:prstGeom>
        <a:solidFill>
          <a:schemeClr val="bg1">
            <a:lumMod val="85000"/>
          </a:schemeClr>
        </a:solidFill>
        <a:ln>
          <a:solidFill>
            <a:srgbClr val="E9ECEF"/>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58D1744B-C1FD-42D3-A207-8C586E2D6A7F}" type="TxLink">
            <a:rPr lang="en-US" sz="2000" b="1" i="0" u="none" strike="noStrike">
              <a:solidFill>
                <a:srgbClr val="000000"/>
              </a:solidFill>
              <a:latin typeface="Calibri"/>
              <a:ea typeface="Calibri"/>
              <a:cs typeface="Calibri"/>
            </a:rPr>
            <a:t>₦3,946,444</a:t>
          </a:fld>
          <a:endParaRPr lang="en-US" sz="2000" b="1"/>
        </a:p>
      </xdr:txBody>
    </xdr:sp>
    <xdr:clientData/>
  </xdr:twoCellAnchor>
  <xdr:twoCellAnchor>
    <xdr:from>
      <xdr:col>15</xdr:col>
      <xdr:colOff>353785</xdr:colOff>
      <xdr:row>3</xdr:row>
      <xdr:rowOff>112182</xdr:rowOff>
    </xdr:from>
    <xdr:to>
      <xdr:col>18</xdr:col>
      <xdr:colOff>498928</xdr:colOff>
      <xdr:row>9</xdr:row>
      <xdr:rowOff>54428</xdr:rowOff>
    </xdr:to>
    <xdr:sp macro="" textlink="'pivot table'!C10">
      <xdr:nvSpPr>
        <xdr:cNvPr id="13" name="Rectangle: Rounded Corners 12">
          <a:extLst>
            <a:ext uri="{FF2B5EF4-FFF2-40B4-BE49-F238E27FC236}">
              <a16:creationId xmlns:a16="http://schemas.microsoft.com/office/drawing/2014/main" id="{96FA719F-2DF5-430C-8486-6E73DCDA3536}"/>
            </a:ext>
          </a:extLst>
        </xdr:cNvPr>
        <xdr:cNvSpPr/>
      </xdr:nvSpPr>
      <xdr:spPr>
        <a:xfrm>
          <a:off x="9552214" y="656468"/>
          <a:ext cx="1968500" cy="1030817"/>
        </a:xfrm>
        <a:prstGeom prst="roundRect">
          <a:avLst/>
        </a:prstGeom>
        <a:solidFill>
          <a:schemeClr val="bg1">
            <a:lumMod val="85000"/>
          </a:schemeClr>
        </a:solidFill>
        <a:ln>
          <a:solidFill>
            <a:srgbClr val="E9ECEF"/>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fld id="{3496E715-1094-436F-BF06-F66D8B8CAF6E}" type="TxLink">
            <a:rPr lang="en-US" sz="2000" b="1" i="0" u="none" strike="noStrike">
              <a:solidFill>
                <a:srgbClr val="000000"/>
              </a:solidFill>
              <a:latin typeface="Calibri"/>
              <a:ea typeface="Calibri"/>
              <a:cs typeface="Calibri"/>
            </a:rPr>
            <a:t>Victoria Island</a:t>
          </a:fld>
          <a:endParaRPr lang="en-US" sz="2000" b="1" i="0" u="none" strike="noStrike">
            <a:solidFill>
              <a:srgbClr val="000000"/>
            </a:solidFill>
            <a:latin typeface="Calibri"/>
            <a:ea typeface="Calibri"/>
            <a:cs typeface="Calibri"/>
          </a:endParaRPr>
        </a:p>
      </xdr:txBody>
    </xdr:sp>
    <xdr:clientData/>
  </xdr:twoCellAnchor>
  <xdr:twoCellAnchor>
    <xdr:from>
      <xdr:col>11</xdr:col>
      <xdr:colOff>544285</xdr:colOff>
      <xdr:row>3</xdr:row>
      <xdr:rowOff>140079</xdr:rowOff>
    </xdr:from>
    <xdr:to>
      <xdr:col>15</xdr:col>
      <xdr:colOff>290284</xdr:colOff>
      <xdr:row>9</xdr:row>
      <xdr:rowOff>90715</xdr:rowOff>
    </xdr:to>
    <xdr:sp macro="" textlink="'pivot table'!G6">
      <xdr:nvSpPr>
        <xdr:cNvPr id="14" name="Rectangle: Rounded Corners 13">
          <a:extLst>
            <a:ext uri="{FF2B5EF4-FFF2-40B4-BE49-F238E27FC236}">
              <a16:creationId xmlns:a16="http://schemas.microsoft.com/office/drawing/2014/main" id="{02590C1F-C73F-4D85-B28D-DE90799D5B37}"/>
            </a:ext>
          </a:extLst>
        </xdr:cNvPr>
        <xdr:cNvSpPr/>
      </xdr:nvSpPr>
      <xdr:spPr>
        <a:xfrm>
          <a:off x="7229928" y="684365"/>
          <a:ext cx="2258785" cy="1039207"/>
        </a:xfrm>
        <a:prstGeom prst="roundRect">
          <a:avLst/>
        </a:prstGeom>
        <a:solidFill>
          <a:schemeClr val="bg1">
            <a:lumMod val="85000"/>
          </a:schemeClr>
        </a:solidFill>
        <a:ln>
          <a:solidFill>
            <a:srgbClr val="E9ECEF"/>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fld id="{ED26D97E-D671-4379-990D-2EA28356F02E}" type="TxLink">
            <a:rPr lang="en-US" sz="2000" b="1" i="0" u="none" strike="noStrike">
              <a:solidFill>
                <a:srgbClr val="000000"/>
              </a:solidFill>
              <a:latin typeface="Calibri"/>
              <a:ea typeface="Calibri"/>
              <a:cs typeface="Calibri"/>
            </a:rPr>
            <a:t>17%</a:t>
          </a:fld>
          <a:endParaRPr lang="en-US" sz="2000" b="1" i="0" u="none" strike="noStrike">
            <a:solidFill>
              <a:srgbClr val="000000"/>
            </a:solidFill>
            <a:latin typeface="Calibri"/>
            <a:ea typeface="Calibri"/>
            <a:cs typeface="Calibri"/>
          </a:endParaRPr>
        </a:p>
      </xdr:txBody>
    </xdr:sp>
    <xdr:clientData/>
  </xdr:twoCellAnchor>
  <xdr:twoCellAnchor>
    <xdr:from>
      <xdr:col>11</xdr:col>
      <xdr:colOff>625929</xdr:colOff>
      <xdr:row>4</xdr:row>
      <xdr:rowOff>90714</xdr:rowOff>
    </xdr:from>
    <xdr:to>
      <xdr:col>15</xdr:col>
      <xdr:colOff>154215</xdr:colOff>
      <xdr:row>7</xdr:row>
      <xdr:rowOff>0</xdr:rowOff>
    </xdr:to>
    <xdr:sp macro="" textlink="">
      <xdr:nvSpPr>
        <xdr:cNvPr id="18" name="TextBox 17">
          <a:extLst>
            <a:ext uri="{FF2B5EF4-FFF2-40B4-BE49-F238E27FC236}">
              <a16:creationId xmlns:a16="http://schemas.microsoft.com/office/drawing/2014/main" id="{F1F54A72-1F89-42C4-AF21-7762405CD8FF}"/>
            </a:ext>
          </a:extLst>
        </xdr:cNvPr>
        <xdr:cNvSpPr txBox="1"/>
      </xdr:nvSpPr>
      <xdr:spPr>
        <a:xfrm>
          <a:off x="7311572" y="816428"/>
          <a:ext cx="2041072" cy="453572"/>
        </a:xfrm>
        <a:prstGeom prst="rect">
          <a:avLst/>
        </a:prstGeom>
        <a:solidFill>
          <a:schemeClr val="bg1">
            <a:lumMod val="8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800" b="1" i="0" u="none" strike="noStrike">
              <a:solidFill>
                <a:srgbClr val="000000"/>
              </a:solidFill>
              <a:latin typeface="Calibri"/>
              <a:ea typeface="Calibri"/>
              <a:cs typeface="Calibri"/>
            </a:rPr>
            <a:t>Avg Profit</a:t>
          </a:r>
          <a:r>
            <a:rPr lang="en-US" sz="1800" b="1" i="0" u="none" strike="noStrike" baseline="0">
              <a:solidFill>
                <a:srgbClr val="000000"/>
              </a:solidFill>
              <a:latin typeface="Calibri"/>
              <a:ea typeface="Calibri"/>
              <a:cs typeface="Calibri"/>
            </a:rPr>
            <a:t> </a:t>
          </a:r>
          <a:r>
            <a:rPr lang="en-US" sz="1800" b="1" i="0" u="none" strike="noStrike">
              <a:solidFill>
                <a:srgbClr val="000000"/>
              </a:solidFill>
              <a:latin typeface="Calibri"/>
              <a:ea typeface="Calibri"/>
              <a:cs typeface="Calibri"/>
            </a:rPr>
            <a:t>Margin%</a:t>
          </a:r>
        </a:p>
      </xdr:txBody>
    </xdr:sp>
    <xdr:clientData/>
  </xdr:twoCellAnchor>
  <xdr:twoCellAnchor>
    <xdr:from>
      <xdr:col>9</xdr:col>
      <xdr:colOff>151190</xdr:colOff>
      <xdr:row>3</xdr:row>
      <xdr:rowOff>143025</xdr:rowOff>
    </xdr:from>
    <xdr:to>
      <xdr:col>11</xdr:col>
      <xdr:colOff>489858</xdr:colOff>
      <xdr:row>9</xdr:row>
      <xdr:rowOff>80583</xdr:rowOff>
    </xdr:to>
    <xdr:sp macro="" textlink="'pivot table'!H6">
      <xdr:nvSpPr>
        <xdr:cNvPr id="15" name="Rectangle: Rounded Corners 14">
          <a:extLst>
            <a:ext uri="{FF2B5EF4-FFF2-40B4-BE49-F238E27FC236}">
              <a16:creationId xmlns:a16="http://schemas.microsoft.com/office/drawing/2014/main" id="{D5166D07-4536-4B6B-9FB3-E9FF19FE6981}"/>
            </a:ext>
          </a:extLst>
        </xdr:cNvPr>
        <xdr:cNvSpPr/>
      </xdr:nvSpPr>
      <xdr:spPr>
        <a:xfrm>
          <a:off x="5621261" y="687311"/>
          <a:ext cx="1554240" cy="1026129"/>
        </a:xfrm>
        <a:prstGeom prst="roundRect">
          <a:avLst/>
        </a:prstGeom>
        <a:solidFill>
          <a:schemeClr val="bg1">
            <a:lumMod val="85000"/>
          </a:schemeClr>
        </a:solidFill>
        <a:ln>
          <a:solidFill>
            <a:srgbClr val="E9ECEF"/>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fld id="{9A525818-7961-4AF7-8FB9-69C686B1B85A}" type="TxLink">
            <a:rPr lang="en-US" sz="2000" b="1" i="0" u="none" strike="noStrike">
              <a:solidFill>
                <a:srgbClr val="000000"/>
              </a:solidFill>
              <a:latin typeface="Calibri"/>
              <a:ea typeface="Calibri"/>
              <a:cs typeface="Calibri"/>
            </a:rPr>
            <a:t>2703</a:t>
          </a:fld>
          <a:endParaRPr lang="en-US" sz="2000" b="1" i="0" u="none" strike="noStrike">
            <a:solidFill>
              <a:srgbClr val="000000"/>
            </a:solidFill>
            <a:latin typeface="Calibri"/>
            <a:ea typeface="Calibri"/>
            <a:cs typeface="Calibri"/>
          </a:endParaRPr>
        </a:p>
      </xdr:txBody>
    </xdr:sp>
    <xdr:clientData/>
  </xdr:twoCellAnchor>
  <xdr:twoCellAnchor>
    <xdr:from>
      <xdr:col>6</xdr:col>
      <xdr:colOff>170164</xdr:colOff>
      <xdr:row>3</xdr:row>
      <xdr:rowOff>126470</xdr:rowOff>
    </xdr:from>
    <xdr:to>
      <xdr:col>9</xdr:col>
      <xdr:colOff>108858</xdr:colOff>
      <xdr:row>9</xdr:row>
      <xdr:rowOff>65617</xdr:rowOff>
    </xdr:to>
    <xdr:sp macro="" textlink="'pivot table'!F6">
      <xdr:nvSpPr>
        <xdr:cNvPr id="16" name="Rectangle: Rounded Corners 15">
          <a:extLst>
            <a:ext uri="{FF2B5EF4-FFF2-40B4-BE49-F238E27FC236}">
              <a16:creationId xmlns:a16="http://schemas.microsoft.com/office/drawing/2014/main" id="{EE7E0FF3-597D-4BA1-9302-EAEA0BE5AF03}"/>
            </a:ext>
          </a:extLst>
        </xdr:cNvPr>
        <xdr:cNvSpPr/>
      </xdr:nvSpPr>
      <xdr:spPr>
        <a:xfrm>
          <a:off x="3816878" y="670756"/>
          <a:ext cx="1762051" cy="1027718"/>
        </a:xfrm>
        <a:prstGeom prst="roundRect">
          <a:avLst/>
        </a:prstGeom>
        <a:solidFill>
          <a:schemeClr val="bg1">
            <a:lumMod val="85000"/>
          </a:schemeClr>
        </a:solidFill>
        <a:ln>
          <a:solidFill>
            <a:srgbClr val="E9ECEF"/>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fld id="{41494468-72B5-4279-8686-41CA53742FBC}" type="TxLink">
            <a:rPr lang="en-US" sz="2000" b="1" i="0" u="none" strike="noStrike">
              <a:solidFill>
                <a:srgbClr val="000000"/>
              </a:solidFill>
              <a:latin typeface="Calibri"/>
              <a:ea typeface="Calibri"/>
              <a:cs typeface="Calibri"/>
            </a:rPr>
            <a:t>₦685,697</a:t>
          </a:fld>
          <a:endParaRPr lang="en-US" sz="2000" b="1" i="0" u="none" strike="noStrike">
            <a:solidFill>
              <a:srgbClr val="000000"/>
            </a:solidFill>
            <a:latin typeface="Calibri"/>
            <a:ea typeface="Calibri"/>
            <a:cs typeface="Calibri"/>
          </a:endParaRPr>
        </a:p>
      </xdr:txBody>
    </xdr:sp>
    <xdr:clientData/>
  </xdr:twoCellAnchor>
  <xdr:twoCellAnchor>
    <xdr:from>
      <xdr:col>3</xdr:col>
      <xdr:colOff>49213</xdr:colOff>
      <xdr:row>4</xdr:row>
      <xdr:rowOff>73025</xdr:rowOff>
    </xdr:from>
    <xdr:to>
      <xdr:col>5</xdr:col>
      <xdr:colOff>299509</xdr:colOff>
      <xdr:row>6</xdr:row>
      <xdr:rowOff>34925</xdr:rowOff>
    </xdr:to>
    <xdr:sp macro="" textlink="">
      <xdr:nvSpPr>
        <xdr:cNvPr id="17" name="TextBox 16">
          <a:extLst>
            <a:ext uri="{FF2B5EF4-FFF2-40B4-BE49-F238E27FC236}">
              <a16:creationId xmlns:a16="http://schemas.microsoft.com/office/drawing/2014/main" id="{5010187B-370F-4161-8CE1-F3D23C95D9BD}"/>
            </a:ext>
          </a:extLst>
        </xdr:cNvPr>
        <xdr:cNvSpPr txBox="1"/>
      </xdr:nvSpPr>
      <xdr:spPr>
        <a:xfrm>
          <a:off x="1890713" y="792692"/>
          <a:ext cx="1477963" cy="3217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t>Total</a:t>
          </a:r>
          <a:r>
            <a:rPr lang="en-US" sz="1500" b="1" baseline="0"/>
            <a:t> </a:t>
          </a:r>
          <a:r>
            <a:rPr lang="en-US" sz="1700" b="1" baseline="0">
              <a:solidFill>
                <a:schemeClr val="dk1"/>
              </a:solidFill>
              <a:latin typeface="+mn-lt"/>
              <a:ea typeface="+mn-ea"/>
              <a:cs typeface="+mn-cs"/>
            </a:rPr>
            <a:t>Revenue</a:t>
          </a:r>
        </a:p>
      </xdr:txBody>
    </xdr:sp>
    <xdr:clientData/>
  </xdr:twoCellAnchor>
  <xdr:twoCellAnchor>
    <xdr:from>
      <xdr:col>15</xdr:col>
      <xdr:colOff>402168</xdr:colOff>
      <xdr:row>4</xdr:row>
      <xdr:rowOff>133350</xdr:rowOff>
    </xdr:from>
    <xdr:to>
      <xdr:col>18</xdr:col>
      <xdr:colOff>48683</xdr:colOff>
      <xdr:row>6</xdr:row>
      <xdr:rowOff>50800</xdr:rowOff>
    </xdr:to>
    <xdr:sp macro="" textlink="">
      <xdr:nvSpPr>
        <xdr:cNvPr id="19" name="TextBox 18">
          <a:extLst>
            <a:ext uri="{FF2B5EF4-FFF2-40B4-BE49-F238E27FC236}">
              <a16:creationId xmlns:a16="http://schemas.microsoft.com/office/drawing/2014/main" id="{ED000586-C4DE-4412-ABB1-E6AD0057DC8A}"/>
            </a:ext>
          </a:extLst>
        </xdr:cNvPr>
        <xdr:cNvSpPr txBox="1"/>
      </xdr:nvSpPr>
      <xdr:spPr>
        <a:xfrm>
          <a:off x="9683751" y="853017"/>
          <a:ext cx="1488015" cy="277283"/>
        </a:xfrm>
        <a:prstGeom prst="rect">
          <a:avLst/>
        </a:prstGeom>
        <a:solidFill>
          <a:schemeClr val="bg1">
            <a:lumMod val="8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r>
            <a:rPr lang="en-US" sz="1800" b="1" i="0" u="none" strike="noStrike">
              <a:solidFill>
                <a:srgbClr val="000000"/>
              </a:solidFill>
              <a:latin typeface="Calibri"/>
              <a:ea typeface="Calibri"/>
              <a:cs typeface="Calibri"/>
            </a:rPr>
            <a:t>Top </a:t>
          </a:r>
          <a:r>
            <a:rPr lang="en-US" sz="1700" b="1" baseline="0">
              <a:solidFill>
                <a:schemeClr val="dk1"/>
              </a:solidFill>
              <a:latin typeface="+mn-lt"/>
              <a:ea typeface="+mn-ea"/>
              <a:cs typeface="+mn-cs"/>
            </a:rPr>
            <a:t>Location</a:t>
          </a:r>
        </a:p>
      </xdr:txBody>
    </xdr:sp>
    <xdr:clientData/>
  </xdr:twoCellAnchor>
  <xdr:twoCellAnchor>
    <xdr:from>
      <xdr:col>9</xdr:col>
      <xdr:colOff>220738</xdr:colOff>
      <xdr:row>4</xdr:row>
      <xdr:rowOff>83457</xdr:rowOff>
    </xdr:from>
    <xdr:to>
      <xdr:col>11</xdr:col>
      <xdr:colOff>254000</xdr:colOff>
      <xdr:row>6</xdr:row>
      <xdr:rowOff>121557</xdr:rowOff>
    </xdr:to>
    <xdr:sp macro="" textlink="">
      <xdr:nvSpPr>
        <xdr:cNvPr id="20" name="TextBox 19">
          <a:extLst>
            <a:ext uri="{FF2B5EF4-FFF2-40B4-BE49-F238E27FC236}">
              <a16:creationId xmlns:a16="http://schemas.microsoft.com/office/drawing/2014/main" id="{6DC4C514-89EF-4B92-B918-A28642726DA3}"/>
            </a:ext>
          </a:extLst>
        </xdr:cNvPr>
        <xdr:cNvSpPr txBox="1"/>
      </xdr:nvSpPr>
      <xdr:spPr>
        <a:xfrm>
          <a:off x="5690809" y="809171"/>
          <a:ext cx="1248834" cy="400957"/>
        </a:xfrm>
        <a:prstGeom prst="rect">
          <a:avLst/>
        </a:prstGeom>
        <a:solidFill>
          <a:schemeClr val="bg1">
            <a:lumMod val="8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r>
            <a:rPr lang="en-US" sz="1700" b="1" baseline="0">
              <a:solidFill>
                <a:schemeClr val="dk1"/>
              </a:solidFill>
              <a:latin typeface="+mn-lt"/>
              <a:ea typeface="+mn-ea"/>
              <a:cs typeface="+mn-cs"/>
            </a:rPr>
            <a:t>Units</a:t>
          </a:r>
          <a:r>
            <a:rPr lang="en-US" sz="1800" b="1" i="0" u="none" strike="noStrike">
              <a:solidFill>
                <a:srgbClr val="000000"/>
              </a:solidFill>
              <a:latin typeface="Calibri"/>
              <a:ea typeface="Calibri"/>
              <a:cs typeface="Calibri"/>
            </a:rPr>
            <a:t> Sold</a:t>
          </a:r>
        </a:p>
      </xdr:txBody>
    </xdr:sp>
    <xdr:clientData/>
  </xdr:twoCellAnchor>
  <xdr:twoCellAnchor>
    <xdr:from>
      <xdr:col>6</xdr:col>
      <xdr:colOff>150510</xdr:colOff>
      <xdr:row>4</xdr:row>
      <xdr:rowOff>150962</xdr:rowOff>
    </xdr:from>
    <xdr:to>
      <xdr:col>8</xdr:col>
      <xdr:colOff>256872</xdr:colOff>
      <xdr:row>6</xdr:row>
      <xdr:rowOff>68413</xdr:rowOff>
    </xdr:to>
    <xdr:sp macro="" textlink="">
      <xdr:nvSpPr>
        <xdr:cNvPr id="21" name="TextBox 20">
          <a:extLst>
            <a:ext uri="{FF2B5EF4-FFF2-40B4-BE49-F238E27FC236}">
              <a16:creationId xmlns:a16="http://schemas.microsoft.com/office/drawing/2014/main" id="{88B4F6D4-BA4B-4EAB-8B14-BC7D4FB5430A}"/>
            </a:ext>
          </a:extLst>
        </xdr:cNvPr>
        <xdr:cNvSpPr txBox="1"/>
      </xdr:nvSpPr>
      <xdr:spPr>
        <a:xfrm>
          <a:off x="3797224" y="876676"/>
          <a:ext cx="1321934" cy="280308"/>
        </a:xfrm>
        <a:prstGeom prst="rect">
          <a:avLst/>
        </a:prstGeom>
        <a:solidFill>
          <a:schemeClr val="bg1">
            <a:lumMod val="85000"/>
          </a:schemeClr>
        </a:solidFill>
        <a:ln w="3175">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r>
            <a:rPr lang="en-US" sz="1800" b="1" i="0" u="none" strike="noStrike">
              <a:solidFill>
                <a:srgbClr val="000000"/>
              </a:solidFill>
              <a:latin typeface="Calibri"/>
              <a:ea typeface="Calibri"/>
              <a:cs typeface="Calibri"/>
            </a:rPr>
            <a:t>Total Profit</a:t>
          </a:r>
        </a:p>
      </xdr:txBody>
    </xdr:sp>
    <xdr:clientData/>
  </xdr:twoCellAnchor>
  <xdr:twoCellAnchor>
    <xdr:from>
      <xdr:col>3</xdr:col>
      <xdr:colOff>10885</xdr:colOff>
      <xdr:row>26</xdr:row>
      <xdr:rowOff>40822</xdr:rowOff>
    </xdr:from>
    <xdr:to>
      <xdr:col>11</xdr:col>
      <xdr:colOff>299357</xdr:colOff>
      <xdr:row>46</xdr:row>
      <xdr:rowOff>36286</xdr:rowOff>
    </xdr:to>
    <xdr:graphicFrame macro="">
      <xdr:nvGraphicFramePr>
        <xdr:cNvPr id="25" name="Chart 24">
          <a:extLst>
            <a:ext uri="{FF2B5EF4-FFF2-40B4-BE49-F238E27FC236}">
              <a16:creationId xmlns:a16="http://schemas.microsoft.com/office/drawing/2014/main" id="{9EBE9D9C-9C6A-42C9-8B85-DB1DCDFAC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349250</xdr:colOff>
      <xdr:row>29</xdr:row>
      <xdr:rowOff>95249</xdr:rowOff>
    </xdr:from>
    <xdr:to>
      <xdr:col>18</xdr:col>
      <xdr:colOff>476250</xdr:colOff>
      <xdr:row>46</xdr:row>
      <xdr:rowOff>105832</xdr:rowOff>
    </xdr:to>
    <xdr:graphicFrame macro="">
      <xdr:nvGraphicFramePr>
        <xdr:cNvPr id="26" name="Chart 25">
          <a:extLst>
            <a:ext uri="{FF2B5EF4-FFF2-40B4-BE49-F238E27FC236}">
              <a16:creationId xmlns:a16="http://schemas.microsoft.com/office/drawing/2014/main" id="{F4EF5C81-6CB1-42DB-8E04-3BC28C086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2116</xdr:colOff>
      <xdr:row>9</xdr:row>
      <xdr:rowOff>95250</xdr:rowOff>
    </xdr:from>
    <xdr:to>
      <xdr:col>11</xdr:col>
      <xdr:colOff>306916</xdr:colOff>
      <xdr:row>26</xdr:row>
      <xdr:rowOff>19051</xdr:rowOff>
    </xdr:to>
    <xdr:graphicFrame macro="">
      <xdr:nvGraphicFramePr>
        <xdr:cNvPr id="27" name="Chart 26">
          <a:extLst>
            <a:ext uri="{FF2B5EF4-FFF2-40B4-BE49-F238E27FC236}">
              <a16:creationId xmlns:a16="http://schemas.microsoft.com/office/drawing/2014/main" id="{3B4809D8-116C-471C-B1A5-5C8FE3BA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361346</xdr:colOff>
      <xdr:row>9</xdr:row>
      <xdr:rowOff>105833</xdr:rowOff>
    </xdr:from>
    <xdr:to>
      <xdr:col>18</xdr:col>
      <xdr:colOff>446014</xdr:colOff>
      <xdr:row>29</xdr:row>
      <xdr:rowOff>42334</xdr:rowOff>
    </xdr:to>
    <xdr:graphicFrame macro="">
      <xdr:nvGraphicFramePr>
        <xdr:cNvPr id="28" name="Chart 27">
          <a:extLst>
            <a:ext uri="{FF2B5EF4-FFF2-40B4-BE49-F238E27FC236}">
              <a16:creationId xmlns:a16="http://schemas.microsoft.com/office/drawing/2014/main" id="{BC363D50-4DC8-4DEC-81E3-4B80EBEAB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17</xdr:row>
      <xdr:rowOff>55336</xdr:rowOff>
    </xdr:from>
    <xdr:to>
      <xdr:col>2</xdr:col>
      <xdr:colOff>567873</xdr:colOff>
      <xdr:row>24</xdr:row>
      <xdr:rowOff>163285</xdr:rowOff>
    </xdr:to>
    <mc:AlternateContent xmlns:mc="http://schemas.openxmlformats.org/markup-compatibility/2006">
      <mc:Choice xmlns:a14="http://schemas.microsoft.com/office/drawing/2010/main" Requires="a14">
        <xdr:graphicFrame macro="">
          <xdr:nvGraphicFramePr>
            <xdr:cNvPr id="29" name="Location">
              <a:extLst>
                <a:ext uri="{FF2B5EF4-FFF2-40B4-BE49-F238E27FC236}">
                  <a16:creationId xmlns:a16="http://schemas.microsoft.com/office/drawing/2014/main" id="{29FE75FF-34B4-4686-B53B-F85A16358F9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0" y="3139622"/>
              <a:ext cx="1783444" cy="1377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9072</xdr:rowOff>
    </xdr:from>
    <xdr:to>
      <xdr:col>2</xdr:col>
      <xdr:colOff>598715</xdr:colOff>
      <xdr:row>31</xdr:row>
      <xdr:rowOff>136072</xdr:rowOff>
    </xdr:to>
    <mc:AlternateContent xmlns:mc="http://schemas.openxmlformats.org/markup-compatibility/2006">
      <mc:Choice xmlns:a14="http://schemas.microsoft.com/office/drawing/2010/main" Requires="a14">
        <xdr:graphicFrame macro="">
          <xdr:nvGraphicFramePr>
            <xdr:cNvPr id="30" name="Product Category">
              <a:extLst>
                <a:ext uri="{FF2B5EF4-FFF2-40B4-BE49-F238E27FC236}">
                  <a16:creationId xmlns:a16="http://schemas.microsoft.com/office/drawing/2014/main" id="{F8CA2953-3B26-44C8-B946-2FE542C3BAE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0" y="4544786"/>
              <a:ext cx="1814286" cy="1215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154214</xdr:rowOff>
    </xdr:from>
    <xdr:to>
      <xdr:col>3</xdr:col>
      <xdr:colOff>5443</xdr:colOff>
      <xdr:row>46</xdr:row>
      <xdr:rowOff>63500</xdr:rowOff>
    </xdr:to>
    <mc:AlternateContent xmlns:mc="http://schemas.openxmlformats.org/markup-compatibility/2006">
      <mc:Choice xmlns:a14="http://schemas.microsoft.com/office/drawing/2010/main" Requires="a14">
        <xdr:graphicFrame macro="">
          <xdr:nvGraphicFramePr>
            <xdr:cNvPr id="31" name="Product">
              <a:extLst>
                <a:ext uri="{FF2B5EF4-FFF2-40B4-BE49-F238E27FC236}">
                  <a16:creationId xmlns:a16="http://schemas.microsoft.com/office/drawing/2014/main" id="{AF4310AF-F782-4FD4-BAAD-CCCD3BAB1DB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5778500"/>
              <a:ext cx="1828800" cy="2630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9071</xdr:colOff>
      <xdr:row>9</xdr:row>
      <xdr:rowOff>132442</xdr:rowOff>
    </xdr:from>
    <xdr:to>
      <xdr:col>2</xdr:col>
      <xdr:colOff>580571</xdr:colOff>
      <xdr:row>17</xdr:row>
      <xdr:rowOff>45356</xdr:rowOff>
    </xdr:to>
    <mc:AlternateContent xmlns:mc="http://schemas.openxmlformats.org/markup-compatibility/2006">
      <mc:Choice xmlns:a14="http://schemas.microsoft.com/office/drawing/2010/main" Requires="a14">
        <xdr:graphicFrame macro="">
          <xdr:nvGraphicFramePr>
            <xdr:cNvPr id="32" name="Months">
              <a:extLst>
                <a:ext uri="{FF2B5EF4-FFF2-40B4-BE49-F238E27FC236}">
                  <a16:creationId xmlns:a16="http://schemas.microsoft.com/office/drawing/2014/main" id="{92AFE6B4-B2B1-4BB0-8CAA-093453A697A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9071" y="1765299"/>
              <a:ext cx="1787071" cy="1364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21167</xdr:colOff>
      <xdr:row>9</xdr:row>
      <xdr:rowOff>79374</xdr:rowOff>
    </xdr:to>
    <xdr:pic>
      <xdr:nvPicPr>
        <xdr:cNvPr id="24" name="Graphic 23">
          <a:extLst>
            <a:ext uri="{FF2B5EF4-FFF2-40B4-BE49-F238E27FC236}">
              <a16:creationId xmlns:a16="http://schemas.microsoft.com/office/drawing/2014/main" id="{0E9C1D44-7AE6-4D90-9929-EA15EA64129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1844524" cy="17122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ze" refreshedDate="46260.612618634259" createdVersion="7" refreshedVersion="7" minRefreshableVersion="3" recordCount="500" xr:uid="{11F153E1-C8F1-4A9B-BB51-0D8F2200F75E}">
  <cacheSource type="worksheet">
    <worksheetSource ref="A1:I501" sheet="Sheet1"/>
  </cacheSource>
  <cacheFields count="12">
    <cacheField name="Date" numFmtId="14">
      <sharedItems containsSemiMixedTypes="0" containsNonDate="0" containsDate="1" containsString="0" minDate="2024-01-01T00:00:00" maxDate="2024-06-22T00:00:00" count="173">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sharedItems>
      <fieldGroup par="11" base="0">
        <rangePr groupBy="days" startDate="2024-01-01T00:00:00" endDate="2024-06-2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06/2024"/>
        </groupItems>
      </fieldGroup>
    </cacheField>
    <cacheField name="Location" numFmtId="0">
      <sharedItems count="6">
        <s v="Ajah"/>
        <s v="Surulere"/>
        <s v="Lekki"/>
        <s v="Victoria Island"/>
        <s v="Yaba"/>
        <s v="Ikeja"/>
      </sharedItems>
    </cacheField>
    <cacheField name="Product Category" numFmtId="0">
      <sharedItems count="4">
        <s v="Meals"/>
        <s v="Drinks"/>
        <s v="Snacks"/>
        <s v="Desserts"/>
      </sharedItems>
    </cacheField>
    <cacheField name="Product" numFmtId="0">
      <sharedItems count="13">
        <s v="Spicy Rice &amp; Chicken"/>
        <s v="Jollof Rice Combo"/>
        <s v="Refuel Regular"/>
        <s v="Refuel Max"/>
        <s v="Coke"/>
        <s v="Water"/>
        <s v="Fanta"/>
        <s v="Sausage Roll"/>
        <s v="Chicken Pie"/>
        <s v="Cake Slice"/>
        <s v="Ice Cream"/>
        <s v="Meat Pie"/>
        <s v="Juice"/>
      </sharedItems>
    </cacheField>
    <cacheField name="Quantity Sold" numFmtId="0">
      <sharedItems containsSemiMixedTypes="0" containsString="0" containsNumber="1" containsInteger="1" minValue="1" maxValue="10"/>
    </cacheField>
    <cacheField name="Unit Price (NGN)" numFmtId="173">
      <sharedItems containsSemiMixedTypes="0" containsString="0" containsNumber="1" minValue="502.17" maxValue="2494.5300000000002"/>
    </cacheField>
    <cacheField name="Total Sales (NGN)" numFmtId="173">
      <sharedItems containsSemiMixedTypes="0" containsString="0" containsNumber="1" minValue="507.09" maxValue="24945.3"/>
    </cacheField>
    <cacheField name="Profit (NGN)" numFmtId="173">
      <sharedItems containsSemiMixedTypes="0" containsString="0" containsNumber="1" minValue="74.31" maxValue="5438.25"/>
    </cacheField>
    <cacheField name="Cost" numFmtId="173">
      <sharedItems containsSemiMixedTypes="0" containsString="0" containsNumber="1" minValue="397.72999999999996" maxValue="21794.43"/>
    </cacheField>
    <cacheField name="Profit margin %" numFmtId="0" formula="'Profit (NGN)'  /'Total Sales (NGN)'" databaseField="0"/>
    <cacheField name="Overall Profit Margin" numFmtId="0" formula="'Profit (NGN)' /'Total Sales (NGN)'" databaseField="0"/>
    <cacheField name="Months" numFmtId="0" databaseField="0">
      <fieldGroup base="0">
        <rangePr groupBy="months" startDate="2024-01-01T00:00:00" endDate="2024-06-22T00:00:00"/>
        <groupItems count="14">
          <s v="&lt;01/01/2024"/>
          <s v="Jan"/>
          <s v="Feb"/>
          <s v="Mar"/>
          <s v="Apr"/>
          <s v="May"/>
          <s v="Jun"/>
          <s v="Jul"/>
          <s v="Aug"/>
          <s v="Sept"/>
          <s v="Oct"/>
          <s v="Nov"/>
          <s v="Dec"/>
          <s v="&gt;22/06/2024"/>
        </groupItems>
      </fieldGroup>
    </cacheField>
  </cacheFields>
  <extLst>
    <ext xmlns:x14="http://schemas.microsoft.com/office/spreadsheetml/2009/9/main" uri="{725AE2AE-9491-48be-B2B4-4EB974FC3084}">
      <x14:pivotCacheDefinition pivotCacheId="1892703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n v="4"/>
    <n v="946.42"/>
    <n v="3785.68"/>
    <n v="796.77"/>
    <n v="2988.91"/>
  </r>
  <r>
    <x v="1"/>
    <x v="1"/>
    <x v="0"/>
    <x v="1"/>
    <n v="1"/>
    <n v="559.59"/>
    <n v="559.59"/>
    <n v="74.31"/>
    <n v="485.28000000000003"/>
  </r>
  <r>
    <x v="1"/>
    <x v="2"/>
    <x v="0"/>
    <x v="2"/>
    <n v="9"/>
    <n v="1339.04"/>
    <n v="12051.36"/>
    <n v="2017.17"/>
    <n v="10034.19"/>
  </r>
  <r>
    <x v="1"/>
    <x v="2"/>
    <x v="0"/>
    <x v="2"/>
    <n v="7"/>
    <n v="1180.5"/>
    <n v="8263.5"/>
    <n v="1019.07"/>
    <n v="7244.43"/>
  </r>
  <r>
    <x v="1"/>
    <x v="1"/>
    <x v="0"/>
    <x v="3"/>
    <n v="7"/>
    <n v="693.43"/>
    <n v="4854.01"/>
    <n v="1102.46"/>
    <n v="3751.55"/>
  </r>
  <r>
    <x v="1"/>
    <x v="3"/>
    <x v="1"/>
    <x v="4"/>
    <n v="8"/>
    <n v="1572.46"/>
    <n v="12579.68"/>
    <n v="3094.19"/>
    <n v="9485.49"/>
  </r>
  <r>
    <x v="2"/>
    <x v="0"/>
    <x v="1"/>
    <x v="5"/>
    <n v="10"/>
    <n v="884.58"/>
    <n v="8845.7999999999993"/>
    <n v="976.87"/>
    <n v="7868.9299999999994"/>
  </r>
  <r>
    <x v="3"/>
    <x v="3"/>
    <x v="1"/>
    <x v="4"/>
    <n v="4"/>
    <n v="2232.9699999999998"/>
    <n v="8931.8799999999992"/>
    <n v="1402.47"/>
    <n v="7529.4099999999989"/>
  </r>
  <r>
    <x v="3"/>
    <x v="0"/>
    <x v="1"/>
    <x v="6"/>
    <n v="6"/>
    <n v="1210.54"/>
    <n v="7263.24"/>
    <n v="1456.47"/>
    <n v="5806.7699999999995"/>
  </r>
  <r>
    <x v="4"/>
    <x v="0"/>
    <x v="2"/>
    <x v="7"/>
    <n v="4"/>
    <n v="826.8"/>
    <n v="3307.2"/>
    <n v="518.96"/>
    <n v="2788.24"/>
  </r>
  <r>
    <x v="5"/>
    <x v="4"/>
    <x v="2"/>
    <x v="7"/>
    <n v="6"/>
    <n v="2185.6999999999998"/>
    <n v="13114.2"/>
    <n v="2837.91"/>
    <n v="10276.290000000001"/>
  </r>
  <r>
    <x v="5"/>
    <x v="1"/>
    <x v="0"/>
    <x v="0"/>
    <n v="7"/>
    <n v="1035.48"/>
    <n v="7248.36"/>
    <n v="954.23"/>
    <n v="6294.1299999999992"/>
  </r>
  <r>
    <x v="5"/>
    <x v="3"/>
    <x v="1"/>
    <x v="6"/>
    <n v="8"/>
    <n v="1291.26"/>
    <n v="10330.08"/>
    <n v="2450.11"/>
    <n v="7879.9699999999993"/>
  </r>
  <r>
    <x v="5"/>
    <x v="2"/>
    <x v="2"/>
    <x v="8"/>
    <n v="3"/>
    <n v="993.26"/>
    <n v="2979.78"/>
    <n v="548.89"/>
    <n v="2430.8900000000003"/>
  </r>
  <r>
    <x v="5"/>
    <x v="1"/>
    <x v="3"/>
    <x v="9"/>
    <n v="6"/>
    <n v="938.64"/>
    <n v="5631.84"/>
    <n v="1405.88"/>
    <n v="4225.96"/>
  </r>
  <r>
    <x v="6"/>
    <x v="0"/>
    <x v="0"/>
    <x v="3"/>
    <n v="2"/>
    <n v="805.68"/>
    <n v="1611.36"/>
    <n v="199.8"/>
    <n v="1411.56"/>
  </r>
  <r>
    <x v="6"/>
    <x v="1"/>
    <x v="3"/>
    <x v="10"/>
    <n v="7"/>
    <n v="1263.24"/>
    <n v="8842.68"/>
    <n v="2205.5300000000002"/>
    <n v="6637.15"/>
  </r>
  <r>
    <x v="6"/>
    <x v="2"/>
    <x v="1"/>
    <x v="4"/>
    <n v="2"/>
    <n v="1863.42"/>
    <n v="3726.84"/>
    <n v="672.86"/>
    <n v="3053.98"/>
  </r>
  <r>
    <x v="6"/>
    <x v="0"/>
    <x v="1"/>
    <x v="4"/>
    <n v="5"/>
    <n v="1369.53"/>
    <n v="6847.65"/>
    <n v="1150.81"/>
    <n v="5696.84"/>
  </r>
  <r>
    <x v="7"/>
    <x v="0"/>
    <x v="2"/>
    <x v="7"/>
    <n v="2"/>
    <n v="2241.04"/>
    <n v="4482.08"/>
    <n v="648.86"/>
    <n v="3833.22"/>
  </r>
  <r>
    <x v="7"/>
    <x v="1"/>
    <x v="2"/>
    <x v="11"/>
    <n v="6"/>
    <n v="2025.02"/>
    <n v="12150.12"/>
    <n v="2198.04"/>
    <n v="9952.0800000000017"/>
  </r>
  <r>
    <x v="7"/>
    <x v="2"/>
    <x v="0"/>
    <x v="0"/>
    <n v="8"/>
    <n v="538.95000000000005"/>
    <n v="4311.6000000000004"/>
    <n v="1032.05"/>
    <n v="3279.55"/>
  </r>
  <r>
    <x v="8"/>
    <x v="3"/>
    <x v="0"/>
    <x v="2"/>
    <n v="10"/>
    <n v="2393.9"/>
    <n v="23939"/>
    <n v="2701.47"/>
    <n v="21237.53"/>
  </r>
  <r>
    <x v="8"/>
    <x v="4"/>
    <x v="0"/>
    <x v="2"/>
    <n v="3"/>
    <n v="1819.5"/>
    <n v="5458.5"/>
    <n v="1321.11"/>
    <n v="4137.3900000000003"/>
  </r>
  <r>
    <x v="9"/>
    <x v="0"/>
    <x v="3"/>
    <x v="10"/>
    <n v="9"/>
    <n v="2010.53"/>
    <n v="18094.77"/>
    <n v="3681.93"/>
    <n v="14412.84"/>
  </r>
  <r>
    <x v="9"/>
    <x v="5"/>
    <x v="1"/>
    <x v="12"/>
    <n v="6"/>
    <n v="1376.2"/>
    <n v="8257.2000000000007"/>
    <n v="1466.78"/>
    <n v="6790.420000000001"/>
  </r>
  <r>
    <x v="9"/>
    <x v="4"/>
    <x v="2"/>
    <x v="11"/>
    <n v="2"/>
    <n v="1176.17"/>
    <n v="2352.34"/>
    <n v="442.82"/>
    <n v="1909.5200000000002"/>
  </r>
  <r>
    <x v="10"/>
    <x v="5"/>
    <x v="2"/>
    <x v="11"/>
    <n v="2"/>
    <n v="1915.68"/>
    <n v="3831.36"/>
    <n v="416.97"/>
    <n v="3414.3900000000003"/>
  </r>
  <r>
    <x v="10"/>
    <x v="3"/>
    <x v="0"/>
    <x v="0"/>
    <n v="2"/>
    <n v="1528.31"/>
    <n v="3056.62"/>
    <n v="433.34"/>
    <n v="2623.2799999999997"/>
  </r>
  <r>
    <x v="10"/>
    <x v="1"/>
    <x v="2"/>
    <x v="7"/>
    <n v="3"/>
    <n v="1946.71"/>
    <n v="5840.13"/>
    <n v="1357"/>
    <n v="4483.13"/>
  </r>
  <r>
    <x v="10"/>
    <x v="5"/>
    <x v="3"/>
    <x v="10"/>
    <n v="8"/>
    <n v="2114.9899999999998"/>
    <n v="16919.919999999998"/>
    <n v="2175.25"/>
    <n v="14744.669999999998"/>
  </r>
  <r>
    <x v="10"/>
    <x v="5"/>
    <x v="3"/>
    <x v="9"/>
    <n v="7"/>
    <n v="1322.2"/>
    <n v="9255.4"/>
    <n v="2124.81"/>
    <n v="7130.59"/>
  </r>
  <r>
    <x v="11"/>
    <x v="4"/>
    <x v="0"/>
    <x v="1"/>
    <n v="6"/>
    <n v="2101.19"/>
    <n v="12607.14"/>
    <n v="1467.35"/>
    <n v="11139.789999999999"/>
  </r>
  <r>
    <x v="12"/>
    <x v="5"/>
    <x v="3"/>
    <x v="10"/>
    <n v="7"/>
    <n v="866.98"/>
    <n v="6068.86"/>
    <n v="1028.03"/>
    <n v="5040.83"/>
  </r>
  <r>
    <x v="12"/>
    <x v="5"/>
    <x v="3"/>
    <x v="10"/>
    <n v="1"/>
    <n v="1804.29"/>
    <n v="1804.29"/>
    <n v="326.74"/>
    <n v="1477.55"/>
  </r>
  <r>
    <x v="13"/>
    <x v="3"/>
    <x v="2"/>
    <x v="11"/>
    <n v="7"/>
    <n v="1471.28"/>
    <n v="10298.959999999999"/>
    <n v="1360.1"/>
    <n v="8938.8599999999988"/>
  </r>
  <r>
    <x v="14"/>
    <x v="3"/>
    <x v="2"/>
    <x v="8"/>
    <n v="1"/>
    <n v="2470.62"/>
    <n v="2470.62"/>
    <n v="345.34"/>
    <n v="2125.2799999999997"/>
  </r>
  <r>
    <x v="15"/>
    <x v="5"/>
    <x v="3"/>
    <x v="9"/>
    <n v="3"/>
    <n v="879.8"/>
    <n v="2639.4"/>
    <n v="350.13"/>
    <n v="2289.27"/>
  </r>
  <r>
    <x v="15"/>
    <x v="1"/>
    <x v="0"/>
    <x v="0"/>
    <n v="1"/>
    <n v="600.28"/>
    <n v="600.28"/>
    <n v="102.96"/>
    <n v="497.32"/>
  </r>
  <r>
    <x v="15"/>
    <x v="1"/>
    <x v="2"/>
    <x v="11"/>
    <n v="9"/>
    <n v="660.22"/>
    <n v="5941.98"/>
    <n v="759.82"/>
    <n v="5182.16"/>
  </r>
  <r>
    <x v="16"/>
    <x v="1"/>
    <x v="2"/>
    <x v="8"/>
    <n v="2"/>
    <n v="2383.19"/>
    <n v="4766.38"/>
    <n v="883.93"/>
    <n v="3882.4500000000003"/>
  </r>
  <r>
    <x v="17"/>
    <x v="2"/>
    <x v="0"/>
    <x v="3"/>
    <n v="7"/>
    <n v="1814.75"/>
    <n v="12703.25"/>
    <n v="2347.36"/>
    <n v="10355.89"/>
  </r>
  <r>
    <x v="17"/>
    <x v="0"/>
    <x v="1"/>
    <x v="6"/>
    <n v="6"/>
    <n v="977.37"/>
    <n v="5864.22"/>
    <n v="934.57"/>
    <n v="4929.6500000000005"/>
  </r>
  <r>
    <x v="17"/>
    <x v="5"/>
    <x v="1"/>
    <x v="12"/>
    <n v="6"/>
    <n v="2358.04"/>
    <n v="14148.24"/>
    <n v="3400.67"/>
    <n v="10747.57"/>
  </r>
  <r>
    <x v="17"/>
    <x v="4"/>
    <x v="3"/>
    <x v="10"/>
    <n v="2"/>
    <n v="1575.27"/>
    <n v="3150.54"/>
    <n v="554.13"/>
    <n v="2596.41"/>
  </r>
  <r>
    <x v="17"/>
    <x v="1"/>
    <x v="1"/>
    <x v="4"/>
    <n v="4"/>
    <n v="1239.05"/>
    <n v="4956.2"/>
    <n v="612.89"/>
    <n v="4343.3099999999995"/>
  </r>
  <r>
    <x v="18"/>
    <x v="5"/>
    <x v="0"/>
    <x v="0"/>
    <n v="2"/>
    <n v="2377.86"/>
    <n v="4755.72"/>
    <n v="571.37"/>
    <n v="4184.3500000000004"/>
  </r>
  <r>
    <x v="18"/>
    <x v="2"/>
    <x v="0"/>
    <x v="2"/>
    <n v="5"/>
    <n v="1063.51"/>
    <n v="5317.55"/>
    <n v="699.76"/>
    <n v="4617.79"/>
  </r>
  <r>
    <x v="18"/>
    <x v="5"/>
    <x v="2"/>
    <x v="7"/>
    <n v="5"/>
    <n v="1510.82"/>
    <n v="7554.1"/>
    <n v="1039.96"/>
    <n v="6514.14"/>
  </r>
  <r>
    <x v="19"/>
    <x v="0"/>
    <x v="3"/>
    <x v="9"/>
    <n v="1"/>
    <n v="507.09"/>
    <n v="507.09"/>
    <n v="109.36"/>
    <n v="397.72999999999996"/>
  </r>
  <r>
    <x v="20"/>
    <x v="5"/>
    <x v="2"/>
    <x v="7"/>
    <n v="8"/>
    <n v="1603.36"/>
    <n v="12826.88"/>
    <n v="2105.5700000000002"/>
    <n v="10721.31"/>
  </r>
  <r>
    <x v="20"/>
    <x v="1"/>
    <x v="0"/>
    <x v="3"/>
    <n v="3"/>
    <n v="1591.18"/>
    <n v="4773.54"/>
    <n v="1074.95"/>
    <n v="3698.59"/>
  </r>
  <r>
    <x v="20"/>
    <x v="5"/>
    <x v="2"/>
    <x v="8"/>
    <n v="3"/>
    <n v="583.66"/>
    <n v="1750.98"/>
    <n v="270.87"/>
    <n v="1480.1100000000001"/>
  </r>
  <r>
    <x v="21"/>
    <x v="1"/>
    <x v="2"/>
    <x v="7"/>
    <n v="4"/>
    <n v="1833.87"/>
    <n v="7335.48"/>
    <n v="1122.71"/>
    <n v="6212.7699999999995"/>
  </r>
  <r>
    <x v="21"/>
    <x v="4"/>
    <x v="3"/>
    <x v="10"/>
    <n v="4"/>
    <n v="2229.21"/>
    <n v="8916.84"/>
    <n v="2197.38"/>
    <n v="6719.46"/>
  </r>
  <r>
    <x v="21"/>
    <x v="3"/>
    <x v="3"/>
    <x v="10"/>
    <n v="3"/>
    <n v="1973.13"/>
    <n v="5919.39"/>
    <n v="886.89"/>
    <n v="5032.5"/>
  </r>
  <r>
    <x v="22"/>
    <x v="3"/>
    <x v="1"/>
    <x v="6"/>
    <n v="2"/>
    <n v="1265.08"/>
    <n v="2530.16"/>
    <n v="267.70999999999998"/>
    <n v="2262.4499999999998"/>
  </r>
  <r>
    <x v="22"/>
    <x v="4"/>
    <x v="2"/>
    <x v="11"/>
    <n v="8"/>
    <n v="1199.32"/>
    <n v="9594.56"/>
    <n v="2140.36"/>
    <n v="7454.1999999999989"/>
  </r>
  <r>
    <x v="23"/>
    <x v="2"/>
    <x v="0"/>
    <x v="2"/>
    <n v="7"/>
    <n v="1156.52"/>
    <n v="8095.64"/>
    <n v="1859.19"/>
    <n v="6236.4500000000007"/>
  </r>
  <r>
    <x v="23"/>
    <x v="2"/>
    <x v="1"/>
    <x v="12"/>
    <n v="9"/>
    <n v="1162.3"/>
    <n v="10460.700000000001"/>
    <n v="1089.3800000000001"/>
    <n v="9371.32"/>
  </r>
  <r>
    <x v="24"/>
    <x v="2"/>
    <x v="1"/>
    <x v="4"/>
    <n v="2"/>
    <n v="1693.14"/>
    <n v="3386.28"/>
    <n v="514.22"/>
    <n v="2872.0600000000004"/>
  </r>
  <r>
    <x v="24"/>
    <x v="5"/>
    <x v="3"/>
    <x v="10"/>
    <n v="7"/>
    <n v="2299.0100000000002"/>
    <n v="16093.07"/>
    <n v="2068.15"/>
    <n v="14024.92"/>
  </r>
  <r>
    <x v="25"/>
    <x v="2"/>
    <x v="0"/>
    <x v="2"/>
    <n v="6"/>
    <n v="1362.59"/>
    <n v="8175.54"/>
    <n v="1981.19"/>
    <n v="6194.35"/>
  </r>
  <r>
    <x v="25"/>
    <x v="2"/>
    <x v="1"/>
    <x v="4"/>
    <n v="5"/>
    <n v="1514.25"/>
    <n v="7571.25"/>
    <n v="1514.51"/>
    <n v="6056.74"/>
  </r>
  <r>
    <x v="25"/>
    <x v="3"/>
    <x v="3"/>
    <x v="9"/>
    <n v="9"/>
    <n v="754.58"/>
    <n v="6791.22"/>
    <n v="1107.42"/>
    <n v="5683.8"/>
  </r>
  <r>
    <x v="25"/>
    <x v="5"/>
    <x v="2"/>
    <x v="7"/>
    <n v="10"/>
    <n v="1101.9000000000001"/>
    <n v="11019"/>
    <n v="2007.56"/>
    <n v="9011.44"/>
  </r>
  <r>
    <x v="26"/>
    <x v="2"/>
    <x v="1"/>
    <x v="6"/>
    <n v="7"/>
    <n v="2071.52"/>
    <n v="14500.64"/>
    <n v="2769.61"/>
    <n v="11731.029999999999"/>
  </r>
  <r>
    <x v="26"/>
    <x v="0"/>
    <x v="3"/>
    <x v="9"/>
    <n v="8"/>
    <n v="1851.25"/>
    <n v="14810"/>
    <n v="2616.5700000000002"/>
    <n v="12193.43"/>
  </r>
  <r>
    <x v="26"/>
    <x v="1"/>
    <x v="2"/>
    <x v="7"/>
    <n v="2"/>
    <n v="1067.57"/>
    <n v="2135.14"/>
    <n v="426.13"/>
    <n v="1709.0099999999998"/>
  </r>
  <r>
    <x v="27"/>
    <x v="5"/>
    <x v="0"/>
    <x v="2"/>
    <n v="5"/>
    <n v="949.28"/>
    <n v="4746.3999999999996"/>
    <n v="616.41"/>
    <n v="4129.99"/>
  </r>
  <r>
    <x v="27"/>
    <x v="3"/>
    <x v="0"/>
    <x v="2"/>
    <n v="8"/>
    <n v="1722.55"/>
    <n v="13780.4"/>
    <n v="2966.55"/>
    <n v="10813.849999999999"/>
  </r>
  <r>
    <x v="27"/>
    <x v="0"/>
    <x v="3"/>
    <x v="10"/>
    <n v="7"/>
    <n v="1488.75"/>
    <n v="10421.25"/>
    <n v="1423.52"/>
    <n v="8997.73"/>
  </r>
  <r>
    <x v="28"/>
    <x v="1"/>
    <x v="0"/>
    <x v="1"/>
    <n v="4"/>
    <n v="851.77"/>
    <n v="3407.08"/>
    <n v="830.29"/>
    <n v="2576.79"/>
  </r>
  <r>
    <x v="29"/>
    <x v="0"/>
    <x v="0"/>
    <x v="2"/>
    <n v="2"/>
    <n v="1412.92"/>
    <n v="2825.84"/>
    <n v="622.29"/>
    <n v="2203.5500000000002"/>
  </r>
  <r>
    <x v="29"/>
    <x v="3"/>
    <x v="1"/>
    <x v="12"/>
    <n v="10"/>
    <n v="2130.0100000000002"/>
    <n v="21300.1"/>
    <n v="4980.03"/>
    <n v="16320.07"/>
  </r>
  <r>
    <x v="29"/>
    <x v="0"/>
    <x v="3"/>
    <x v="10"/>
    <n v="8"/>
    <n v="1400.14"/>
    <n v="11201.12"/>
    <n v="2383.2199999999998"/>
    <n v="8817.9000000000015"/>
  </r>
  <r>
    <x v="29"/>
    <x v="2"/>
    <x v="1"/>
    <x v="12"/>
    <n v="4"/>
    <n v="1049.19"/>
    <n v="4196.76"/>
    <n v="468.45"/>
    <n v="3728.3100000000004"/>
  </r>
  <r>
    <x v="30"/>
    <x v="4"/>
    <x v="1"/>
    <x v="5"/>
    <n v="6"/>
    <n v="2286.0500000000002"/>
    <n v="13716.3"/>
    <n v="1537.41"/>
    <n v="12178.89"/>
  </r>
  <r>
    <x v="30"/>
    <x v="3"/>
    <x v="2"/>
    <x v="8"/>
    <n v="3"/>
    <n v="1912.84"/>
    <n v="5738.52"/>
    <n v="629.14"/>
    <n v="5109.38"/>
  </r>
  <r>
    <x v="31"/>
    <x v="1"/>
    <x v="3"/>
    <x v="9"/>
    <n v="1"/>
    <n v="913.67"/>
    <n v="913.67"/>
    <n v="148.94999999999999"/>
    <n v="764.72"/>
  </r>
  <r>
    <x v="31"/>
    <x v="3"/>
    <x v="0"/>
    <x v="1"/>
    <n v="8"/>
    <n v="511.79"/>
    <n v="4094.32"/>
    <n v="625.46"/>
    <n v="3468.86"/>
  </r>
  <r>
    <x v="31"/>
    <x v="5"/>
    <x v="3"/>
    <x v="10"/>
    <n v="8"/>
    <n v="938.84"/>
    <n v="7510.72"/>
    <n v="1242.0899999999999"/>
    <n v="6268.63"/>
  </r>
  <r>
    <x v="32"/>
    <x v="1"/>
    <x v="1"/>
    <x v="12"/>
    <n v="3"/>
    <n v="2181.0100000000002"/>
    <n v="6543.03"/>
    <n v="1556.79"/>
    <n v="4986.24"/>
  </r>
  <r>
    <x v="32"/>
    <x v="0"/>
    <x v="0"/>
    <x v="1"/>
    <n v="10"/>
    <n v="1628.78"/>
    <n v="16287.8"/>
    <n v="1694.99"/>
    <n v="14592.81"/>
  </r>
  <r>
    <x v="32"/>
    <x v="2"/>
    <x v="3"/>
    <x v="10"/>
    <n v="8"/>
    <n v="863.46"/>
    <n v="6907.68"/>
    <n v="960.33"/>
    <n v="5947.35"/>
  </r>
  <r>
    <x v="32"/>
    <x v="2"/>
    <x v="2"/>
    <x v="8"/>
    <n v="6"/>
    <n v="1175"/>
    <n v="7050"/>
    <n v="1635.22"/>
    <n v="5414.78"/>
  </r>
  <r>
    <x v="33"/>
    <x v="2"/>
    <x v="1"/>
    <x v="4"/>
    <n v="8"/>
    <n v="538.77"/>
    <n v="4310.16"/>
    <n v="779.76"/>
    <n v="3530.3999999999996"/>
  </r>
  <r>
    <x v="33"/>
    <x v="5"/>
    <x v="2"/>
    <x v="7"/>
    <n v="2"/>
    <n v="2062.4699999999998"/>
    <n v="4124.9399999999996"/>
    <n v="815.76"/>
    <n v="3309.1799999999994"/>
  </r>
  <r>
    <x v="33"/>
    <x v="3"/>
    <x v="2"/>
    <x v="11"/>
    <n v="1"/>
    <n v="1742.67"/>
    <n v="1742.67"/>
    <n v="236.62"/>
    <n v="1506.0500000000002"/>
  </r>
  <r>
    <x v="33"/>
    <x v="4"/>
    <x v="0"/>
    <x v="2"/>
    <n v="8"/>
    <n v="1898.93"/>
    <n v="15191.44"/>
    <n v="3266.69"/>
    <n v="11924.75"/>
  </r>
  <r>
    <x v="34"/>
    <x v="2"/>
    <x v="0"/>
    <x v="2"/>
    <n v="5"/>
    <n v="716.2"/>
    <n v="3581"/>
    <n v="371.89"/>
    <n v="3209.11"/>
  </r>
  <r>
    <x v="34"/>
    <x v="0"/>
    <x v="3"/>
    <x v="9"/>
    <n v="4"/>
    <n v="651.99"/>
    <n v="2607.96"/>
    <n v="530.96"/>
    <n v="2077"/>
  </r>
  <r>
    <x v="34"/>
    <x v="5"/>
    <x v="2"/>
    <x v="11"/>
    <n v="5"/>
    <n v="2200.59"/>
    <n v="11002.95"/>
    <n v="2091.2399999999998"/>
    <n v="8911.7100000000009"/>
  </r>
  <r>
    <x v="34"/>
    <x v="1"/>
    <x v="0"/>
    <x v="0"/>
    <n v="9"/>
    <n v="1356.76"/>
    <n v="12210.84"/>
    <n v="1899.83"/>
    <n v="10311.01"/>
  </r>
  <r>
    <x v="34"/>
    <x v="2"/>
    <x v="1"/>
    <x v="4"/>
    <n v="7"/>
    <n v="2144.66"/>
    <n v="15012.62"/>
    <n v="1738.92"/>
    <n v="13273.7"/>
  </r>
  <r>
    <x v="35"/>
    <x v="2"/>
    <x v="2"/>
    <x v="8"/>
    <n v="3"/>
    <n v="1967.59"/>
    <n v="5902.77"/>
    <n v="1445.12"/>
    <n v="4457.6500000000005"/>
  </r>
  <r>
    <x v="35"/>
    <x v="2"/>
    <x v="3"/>
    <x v="9"/>
    <n v="7"/>
    <n v="2151.4699999999998"/>
    <n v="15060.29"/>
    <n v="2844.45"/>
    <n v="12215.84"/>
  </r>
  <r>
    <x v="35"/>
    <x v="3"/>
    <x v="2"/>
    <x v="11"/>
    <n v="5"/>
    <n v="2263.2600000000002"/>
    <n v="11316.3"/>
    <n v="1545.57"/>
    <n v="9770.73"/>
  </r>
  <r>
    <x v="35"/>
    <x v="3"/>
    <x v="3"/>
    <x v="9"/>
    <n v="1"/>
    <n v="1488.61"/>
    <n v="1488.61"/>
    <n v="221.43"/>
    <n v="1267.1799999999998"/>
  </r>
  <r>
    <x v="36"/>
    <x v="2"/>
    <x v="1"/>
    <x v="5"/>
    <n v="6"/>
    <n v="1059.32"/>
    <n v="6355.92"/>
    <n v="1203.96"/>
    <n v="5151.96"/>
  </r>
  <r>
    <x v="36"/>
    <x v="1"/>
    <x v="0"/>
    <x v="2"/>
    <n v="2"/>
    <n v="982.71"/>
    <n v="1965.42"/>
    <n v="316.36"/>
    <n v="1649.06"/>
  </r>
  <r>
    <x v="37"/>
    <x v="4"/>
    <x v="3"/>
    <x v="9"/>
    <n v="8"/>
    <n v="2085.87"/>
    <n v="16686.96"/>
    <n v="1901.61"/>
    <n v="14785.349999999999"/>
  </r>
  <r>
    <x v="37"/>
    <x v="1"/>
    <x v="3"/>
    <x v="10"/>
    <n v="5"/>
    <n v="1827.92"/>
    <n v="9139.6"/>
    <n v="1419.86"/>
    <n v="7719.7400000000007"/>
  </r>
  <r>
    <x v="38"/>
    <x v="2"/>
    <x v="1"/>
    <x v="12"/>
    <n v="9"/>
    <n v="1161.58"/>
    <n v="10454.219999999999"/>
    <n v="2147.59"/>
    <n v="8306.6299999999992"/>
  </r>
  <r>
    <x v="38"/>
    <x v="5"/>
    <x v="1"/>
    <x v="5"/>
    <n v="4"/>
    <n v="741.31"/>
    <n v="2965.24"/>
    <n v="382.18"/>
    <n v="2583.06"/>
  </r>
  <r>
    <x v="38"/>
    <x v="1"/>
    <x v="2"/>
    <x v="11"/>
    <n v="4"/>
    <n v="1977.21"/>
    <n v="7908.84"/>
    <n v="1118.9000000000001"/>
    <n v="6789.9400000000005"/>
  </r>
  <r>
    <x v="38"/>
    <x v="2"/>
    <x v="1"/>
    <x v="4"/>
    <n v="4"/>
    <n v="1092.49"/>
    <n v="4369.96"/>
    <n v="673.55"/>
    <n v="3696.41"/>
  </r>
  <r>
    <x v="38"/>
    <x v="2"/>
    <x v="0"/>
    <x v="2"/>
    <n v="5"/>
    <n v="591.03"/>
    <n v="2955.15"/>
    <n v="319.68"/>
    <n v="2635.4700000000003"/>
  </r>
  <r>
    <x v="39"/>
    <x v="3"/>
    <x v="3"/>
    <x v="10"/>
    <n v="1"/>
    <n v="1648.13"/>
    <n v="1648.13"/>
    <n v="280.86"/>
    <n v="1367.27"/>
  </r>
  <r>
    <x v="39"/>
    <x v="5"/>
    <x v="1"/>
    <x v="6"/>
    <n v="1"/>
    <n v="1004.96"/>
    <n v="1004.96"/>
    <n v="230.4"/>
    <n v="774.56000000000006"/>
  </r>
  <r>
    <x v="40"/>
    <x v="4"/>
    <x v="3"/>
    <x v="9"/>
    <n v="2"/>
    <n v="1654.04"/>
    <n v="3308.08"/>
    <n v="671.43"/>
    <n v="2636.65"/>
  </r>
  <r>
    <x v="41"/>
    <x v="1"/>
    <x v="1"/>
    <x v="4"/>
    <n v="4"/>
    <n v="736.9"/>
    <n v="2947.6"/>
    <n v="632.75"/>
    <n v="2314.85"/>
  </r>
  <r>
    <x v="41"/>
    <x v="1"/>
    <x v="2"/>
    <x v="7"/>
    <n v="7"/>
    <n v="1401.03"/>
    <n v="9807.2099999999991"/>
    <n v="1632"/>
    <n v="8175.2099999999991"/>
  </r>
  <r>
    <x v="42"/>
    <x v="4"/>
    <x v="1"/>
    <x v="4"/>
    <n v="10"/>
    <n v="2420.2199999999998"/>
    <n v="24202.2"/>
    <n v="2780.47"/>
    <n v="21421.73"/>
  </r>
  <r>
    <x v="42"/>
    <x v="5"/>
    <x v="2"/>
    <x v="8"/>
    <n v="2"/>
    <n v="814.11"/>
    <n v="1628.22"/>
    <n v="205.27"/>
    <n v="1422.95"/>
  </r>
  <r>
    <x v="42"/>
    <x v="2"/>
    <x v="2"/>
    <x v="11"/>
    <n v="7"/>
    <n v="1401.01"/>
    <n v="9807.07"/>
    <n v="1854.24"/>
    <n v="7952.83"/>
  </r>
  <r>
    <x v="42"/>
    <x v="3"/>
    <x v="0"/>
    <x v="2"/>
    <n v="5"/>
    <n v="1913.91"/>
    <n v="9569.5499999999993"/>
    <n v="1966.05"/>
    <n v="7603.4999999999991"/>
  </r>
  <r>
    <x v="43"/>
    <x v="3"/>
    <x v="2"/>
    <x v="8"/>
    <n v="10"/>
    <n v="1822.37"/>
    <n v="18223.7"/>
    <n v="4374.6000000000004"/>
    <n v="13849.1"/>
  </r>
  <r>
    <x v="44"/>
    <x v="5"/>
    <x v="2"/>
    <x v="7"/>
    <n v="3"/>
    <n v="2316.8200000000002"/>
    <n v="6950.46"/>
    <n v="1556.87"/>
    <n v="5393.59"/>
  </r>
  <r>
    <x v="45"/>
    <x v="2"/>
    <x v="2"/>
    <x v="8"/>
    <n v="10"/>
    <n v="1997.92"/>
    <n v="19979.2"/>
    <n v="3703.77"/>
    <n v="16275.43"/>
  </r>
  <r>
    <x v="46"/>
    <x v="1"/>
    <x v="0"/>
    <x v="1"/>
    <n v="5"/>
    <n v="1899.47"/>
    <n v="9497.35"/>
    <n v="2292.67"/>
    <n v="7204.68"/>
  </r>
  <r>
    <x v="46"/>
    <x v="0"/>
    <x v="3"/>
    <x v="9"/>
    <n v="2"/>
    <n v="1696.07"/>
    <n v="3392.14"/>
    <n v="791.77"/>
    <n v="2600.37"/>
  </r>
  <r>
    <x v="46"/>
    <x v="1"/>
    <x v="1"/>
    <x v="5"/>
    <n v="1"/>
    <n v="682.65"/>
    <n v="682.65"/>
    <n v="166.76"/>
    <n v="515.89"/>
  </r>
  <r>
    <x v="46"/>
    <x v="3"/>
    <x v="0"/>
    <x v="0"/>
    <n v="10"/>
    <n v="580.46"/>
    <n v="5804.6"/>
    <n v="1238.94"/>
    <n v="4565.66"/>
  </r>
  <r>
    <x v="47"/>
    <x v="3"/>
    <x v="3"/>
    <x v="9"/>
    <n v="3"/>
    <n v="2493.89"/>
    <n v="7481.67"/>
    <n v="1237.3399999999999"/>
    <n v="6244.33"/>
  </r>
  <r>
    <x v="47"/>
    <x v="5"/>
    <x v="0"/>
    <x v="1"/>
    <n v="6"/>
    <n v="1316.7"/>
    <n v="7900.2"/>
    <n v="1170.48"/>
    <n v="6729.7199999999993"/>
  </r>
  <r>
    <x v="47"/>
    <x v="3"/>
    <x v="2"/>
    <x v="8"/>
    <n v="7"/>
    <n v="1887.35"/>
    <n v="13211.45"/>
    <n v="1892.31"/>
    <n v="11319.140000000001"/>
  </r>
  <r>
    <x v="47"/>
    <x v="3"/>
    <x v="0"/>
    <x v="1"/>
    <n v="2"/>
    <n v="1129.03"/>
    <n v="2258.06"/>
    <n v="335.3"/>
    <n v="1922.76"/>
  </r>
  <r>
    <x v="47"/>
    <x v="1"/>
    <x v="0"/>
    <x v="1"/>
    <n v="7"/>
    <n v="608.41"/>
    <n v="4258.87"/>
    <n v="757.08"/>
    <n v="3501.79"/>
  </r>
  <r>
    <x v="48"/>
    <x v="2"/>
    <x v="3"/>
    <x v="10"/>
    <n v="4"/>
    <n v="1034.1099999999999"/>
    <n v="4136.4399999999996"/>
    <n v="494.93"/>
    <n v="3641.5099999999998"/>
  </r>
  <r>
    <x v="48"/>
    <x v="4"/>
    <x v="3"/>
    <x v="9"/>
    <n v="2"/>
    <n v="557.74"/>
    <n v="1115.48"/>
    <n v="216.96"/>
    <n v="898.52"/>
  </r>
  <r>
    <x v="48"/>
    <x v="4"/>
    <x v="2"/>
    <x v="8"/>
    <n v="9"/>
    <n v="527.35"/>
    <n v="4746.1499999999996"/>
    <n v="765.07"/>
    <n v="3981.0799999999995"/>
  </r>
  <r>
    <x v="48"/>
    <x v="0"/>
    <x v="0"/>
    <x v="1"/>
    <n v="2"/>
    <n v="1795.42"/>
    <n v="3590.84"/>
    <n v="442.02"/>
    <n v="3148.82"/>
  </r>
  <r>
    <x v="49"/>
    <x v="1"/>
    <x v="1"/>
    <x v="12"/>
    <n v="8"/>
    <n v="2460.4899999999998"/>
    <n v="19683.919999999998"/>
    <n v="2688.03"/>
    <n v="16995.89"/>
  </r>
  <r>
    <x v="49"/>
    <x v="4"/>
    <x v="2"/>
    <x v="8"/>
    <n v="4"/>
    <n v="2343.7399999999998"/>
    <n v="9374.9599999999991"/>
    <n v="1652.21"/>
    <n v="7722.7499999999991"/>
  </r>
  <r>
    <x v="49"/>
    <x v="2"/>
    <x v="0"/>
    <x v="0"/>
    <n v="7"/>
    <n v="1179.75"/>
    <n v="8258.25"/>
    <n v="1801.6"/>
    <n v="6456.65"/>
  </r>
  <r>
    <x v="50"/>
    <x v="4"/>
    <x v="1"/>
    <x v="5"/>
    <n v="10"/>
    <n v="1659.85"/>
    <n v="16598.5"/>
    <n v="3302.95"/>
    <n v="13295.55"/>
  </r>
  <r>
    <x v="51"/>
    <x v="3"/>
    <x v="3"/>
    <x v="9"/>
    <n v="6"/>
    <n v="1603.83"/>
    <n v="9622.98"/>
    <n v="1746.71"/>
    <n v="7876.2699999999995"/>
  </r>
  <r>
    <x v="51"/>
    <x v="3"/>
    <x v="1"/>
    <x v="6"/>
    <n v="4"/>
    <n v="1643.6"/>
    <n v="6574.4"/>
    <n v="887.77"/>
    <n v="5686.6299999999992"/>
  </r>
  <r>
    <x v="51"/>
    <x v="3"/>
    <x v="0"/>
    <x v="0"/>
    <n v="8"/>
    <n v="1910.46"/>
    <n v="15283.68"/>
    <n v="3388.57"/>
    <n v="11895.11"/>
  </r>
  <r>
    <x v="51"/>
    <x v="2"/>
    <x v="2"/>
    <x v="8"/>
    <n v="1"/>
    <n v="752.49"/>
    <n v="752.49"/>
    <n v="184.21"/>
    <n v="568.28"/>
  </r>
  <r>
    <x v="52"/>
    <x v="4"/>
    <x v="3"/>
    <x v="10"/>
    <n v="9"/>
    <n v="2320.88"/>
    <n v="20887.919999999998"/>
    <n v="2136.88"/>
    <n v="18751.039999999997"/>
  </r>
  <r>
    <x v="53"/>
    <x v="1"/>
    <x v="2"/>
    <x v="11"/>
    <n v="8"/>
    <n v="2063.0500000000002"/>
    <n v="16504.400000000001"/>
    <n v="2306.5500000000002"/>
    <n v="14197.850000000002"/>
  </r>
  <r>
    <x v="53"/>
    <x v="3"/>
    <x v="3"/>
    <x v="10"/>
    <n v="6"/>
    <n v="2204.6799999999998"/>
    <n v="13228.08"/>
    <n v="3027.93"/>
    <n v="10200.15"/>
  </r>
  <r>
    <x v="53"/>
    <x v="0"/>
    <x v="1"/>
    <x v="12"/>
    <n v="9"/>
    <n v="571.79999999999995"/>
    <n v="5146.2"/>
    <n v="567.44000000000005"/>
    <n v="4578.76"/>
  </r>
  <r>
    <x v="53"/>
    <x v="0"/>
    <x v="1"/>
    <x v="6"/>
    <n v="2"/>
    <n v="1367.94"/>
    <n v="2735.88"/>
    <n v="313.99"/>
    <n v="2421.8900000000003"/>
  </r>
  <r>
    <x v="54"/>
    <x v="5"/>
    <x v="3"/>
    <x v="10"/>
    <n v="5"/>
    <n v="2306.85"/>
    <n v="11534.25"/>
    <n v="1233"/>
    <n v="10301.25"/>
  </r>
  <r>
    <x v="55"/>
    <x v="1"/>
    <x v="1"/>
    <x v="5"/>
    <n v="7"/>
    <n v="791.14"/>
    <n v="5537.98"/>
    <n v="995.04"/>
    <n v="4542.9399999999996"/>
  </r>
  <r>
    <x v="55"/>
    <x v="1"/>
    <x v="2"/>
    <x v="11"/>
    <n v="3"/>
    <n v="657.94"/>
    <n v="1973.82"/>
    <n v="455.21"/>
    <n v="1518.61"/>
  </r>
  <r>
    <x v="55"/>
    <x v="2"/>
    <x v="2"/>
    <x v="8"/>
    <n v="10"/>
    <n v="786.24"/>
    <n v="7862.4"/>
    <n v="1330.1"/>
    <n v="6532.2999999999993"/>
  </r>
  <r>
    <x v="56"/>
    <x v="4"/>
    <x v="1"/>
    <x v="4"/>
    <n v="8"/>
    <n v="2302.42"/>
    <n v="18419.36"/>
    <n v="3714.11"/>
    <n v="14705.25"/>
  </r>
  <r>
    <x v="56"/>
    <x v="3"/>
    <x v="0"/>
    <x v="1"/>
    <n v="6"/>
    <n v="2475.3000000000002"/>
    <n v="14851.8"/>
    <n v="2151.63"/>
    <n v="12700.169999999998"/>
  </r>
  <r>
    <x v="56"/>
    <x v="3"/>
    <x v="1"/>
    <x v="12"/>
    <n v="5"/>
    <n v="898.43"/>
    <n v="4492.1499999999996"/>
    <n v="708.43"/>
    <n v="3783.72"/>
  </r>
  <r>
    <x v="56"/>
    <x v="0"/>
    <x v="0"/>
    <x v="2"/>
    <n v="7"/>
    <n v="1643.85"/>
    <n v="11506.95"/>
    <n v="2142.84"/>
    <n v="9364.11"/>
  </r>
  <r>
    <x v="57"/>
    <x v="0"/>
    <x v="0"/>
    <x v="1"/>
    <n v="5"/>
    <n v="516.20000000000005"/>
    <n v="2581"/>
    <n v="593.01"/>
    <n v="1987.99"/>
  </r>
  <r>
    <x v="57"/>
    <x v="2"/>
    <x v="0"/>
    <x v="1"/>
    <n v="5"/>
    <n v="2051.48"/>
    <n v="10257.4"/>
    <n v="1379.8"/>
    <n v="8877.6"/>
  </r>
  <r>
    <x v="57"/>
    <x v="0"/>
    <x v="2"/>
    <x v="7"/>
    <n v="4"/>
    <n v="1741.78"/>
    <n v="6967.12"/>
    <n v="1405.02"/>
    <n v="5562.1"/>
  </r>
  <r>
    <x v="58"/>
    <x v="2"/>
    <x v="0"/>
    <x v="3"/>
    <n v="5"/>
    <n v="2077.2199999999998"/>
    <n v="10386.1"/>
    <n v="1090.5899999999999"/>
    <n v="9295.51"/>
  </r>
  <r>
    <x v="58"/>
    <x v="4"/>
    <x v="2"/>
    <x v="11"/>
    <n v="5"/>
    <n v="1153.44"/>
    <n v="5767.2"/>
    <n v="936.16"/>
    <n v="4831.04"/>
  </r>
  <r>
    <x v="59"/>
    <x v="3"/>
    <x v="1"/>
    <x v="5"/>
    <n v="3"/>
    <n v="1013.94"/>
    <n v="3041.82"/>
    <n v="680.47"/>
    <n v="2361.3500000000004"/>
  </r>
  <r>
    <x v="59"/>
    <x v="4"/>
    <x v="1"/>
    <x v="5"/>
    <n v="2"/>
    <n v="1436.66"/>
    <n v="2873.32"/>
    <n v="319.79000000000002"/>
    <n v="2553.5300000000002"/>
  </r>
  <r>
    <x v="60"/>
    <x v="3"/>
    <x v="1"/>
    <x v="4"/>
    <n v="7"/>
    <n v="527.84"/>
    <n v="3694.88"/>
    <n v="666.87"/>
    <n v="3028.01"/>
  </r>
  <r>
    <x v="60"/>
    <x v="2"/>
    <x v="1"/>
    <x v="5"/>
    <n v="10"/>
    <n v="1262.05"/>
    <n v="12620.5"/>
    <n v="2470.87"/>
    <n v="10149.630000000001"/>
  </r>
  <r>
    <x v="60"/>
    <x v="1"/>
    <x v="0"/>
    <x v="2"/>
    <n v="8"/>
    <n v="550.04999999999995"/>
    <n v="4400.3999999999996"/>
    <n v="1023.69"/>
    <n v="3376.7099999999996"/>
  </r>
  <r>
    <x v="60"/>
    <x v="0"/>
    <x v="1"/>
    <x v="6"/>
    <n v="2"/>
    <n v="1770.81"/>
    <n v="3541.62"/>
    <n v="600.79999999999995"/>
    <n v="2940.8199999999997"/>
  </r>
  <r>
    <x v="61"/>
    <x v="3"/>
    <x v="3"/>
    <x v="10"/>
    <n v="3"/>
    <n v="590.69000000000005"/>
    <n v="1772.07"/>
    <n v="187.1"/>
    <n v="1584.97"/>
  </r>
  <r>
    <x v="61"/>
    <x v="3"/>
    <x v="0"/>
    <x v="3"/>
    <n v="4"/>
    <n v="2274.52"/>
    <n v="9098.08"/>
    <n v="1094.95"/>
    <n v="8003.13"/>
  </r>
  <r>
    <x v="61"/>
    <x v="3"/>
    <x v="1"/>
    <x v="12"/>
    <n v="10"/>
    <n v="1984.54"/>
    <n v="19845.400000000001"/>
    <n v="2444.5300000000002"/>
    <n v="17400.870000000003"/>
  </r>
  <r>
    <x v="62"/>
    <x v="3"/>
    <x v="3"/>
    <x v="9"/>
    <n v="5"/>
    <n v="565.42999999999995"/>
    <n v="2827.15"/>
    <n v="439.85"/>
    <n v="2387.3000000000002"/>
  </r>
  <r>
    <x v="63"/>
    <x v="0"/>
    <x v="2"/>
    <x v="8"/>
    <n v="2"/>
    <n v="2461.86"/>
    <n v="4923.72"/>
    <n v="763.67"/>
    <n v="4160.05"/>
  </r>
  <r>
    <x v="63"/>
    <x v="3"/>
    <x v="1"/>
    <x v="4"/>
    <n v="7"/>
    <n v="1051.76"/>
    <n v="7362.32"/>
    <n v="1805.47"/>
    <n v="5556.8499999999995"/>
  </r>
  <r>
    <x v="63"/>
    <x v="2"/>
    <x v="0"/>
    <x v="2"/>
    <n v="10"/>
    <n v="2442.19"/>
    <n v="24421.9"/>
    <n v="2627.47"/>
    <n v="21794.43"/>
  </r>
  <r>
    <x v="63"/>
    <x v="1"/>
    <x v="2"/>
    <x v="11"/>
    <n v="10"/>
    <n v="910.41"/>
    <n v="9104.1"/>
    <n v="2043.62"/>
    <n v="7060.4800000000005"/>
  </r>
  <r>
    <x v="64"/>
    <x v="1"/>
    <x v="2"/>
    <x v="11"/>
    <n v="6"/>
    <n v="2048.7399999999998"/>
    <n v="12292.44"/>
    <n v="2683.4"/>
    <n v="9609.0400000000009"/>
  </r>
  <r>
    <x v="64"/>
    <x v="4"/>
    <x v="0"/>
    <x v="0"/>
    <n v="3"/>
    <n v="2475.0500000000002"/>
    <n v="7425.15"/>
    <n v="1344.19"/>
    <n v="6080.9599999999991"/>
  </r>
  <r>
    <x v="65"/>
    <x v="1"/>
    <x v="0"/>
    <x v="2"/>
    <n v="1"/>
    <n v="1216.48"/>
    <n v="1216.48"/>
    <n v="265.51"/>
    <n v="950.97"/>
  </r>
  <r>
    <x v="66"/>
    <x v="1"/>
    <x v="0"/>
    <x v="2"/>
    <n v="5"/>
    <n v="604.79999999999995"/>
    <n v="3024"/>
    <n v="638.84"/>
    <n v="2385.16"/>
  </r>
  <r>
    <x v="66"/>
    <x v="1"/>
    <x v="0"/>
    <x v="3"/>
    <n v="8"/>
    <n v="1396.55"/>
    <n v="11172.4"/>
    <n v="1723.97"/>
    <n v="9448.43"/>
  </r>
  <r>
    <x v="66"/>
    <x v="0"/>
    <x v="0"/>
    <x v="1"/>
    <n v="9"/>
    <n v="943.1"/>
    <n v="8487.9"/>
    <n v="1631.93"/>
    <n v="6855.9699999999993"/>
  </r>
  <r>
    <x v="67"/>
    <x v="3"/>
    <x v="1"/>
    <x v="12"/>
    <n v="1"/>
    <n v="621.65"/>
    <n v="621.65"/>
    <n v="106.83"/>
    <n v="514.81999999999994"/>
  </r>
  <r>
    <x v="67"/>
    <x v="5"/>
    <x v="3"/>
    <x v="10"/>
    <n v="8"/>
    <n v="1924.8"/>
    <n v="15398.4"/>
    <n v="2564.36"/>
    <n v="12834.039999999999"/>
  </r>
  <r>
    <x v="67"/>
    <x v="1"/>
    <x v="1"/>
    <x v="6"/>
    <n v="2"/>
    <n v="752.38"/>
    <n v="1504.76"/>
    <n v="291.39"/>
    <n v="1213.3699999999999"/>
  </r>
  <r>
    <x v="67"/>
    <x v="1"/>
    <x v="1"/>
    <x v="12"/>
    <n v="10"/>
    <n v="1561.11"/>
    <n v="15611.1"/>
    <n v="2623.56"/>
    <n v="12987.54"/>
  </r>
  <r>
    <x v="67"/>
    <x v="1"/>
    <x v="3"/>
    <x v="10"/>
    <n v="2"/>
    <n v="2205.59"/>
    <n v="4411.18"/>
    <n v="871.81"/>
    <n v="3539.3700000000003"/>
  </r>
  <r>
    <x v="68"/>
    <x v="3"/>
    <x v="3"/>
    <x v="9"/>
    <n v="4"/>
    <n v="1327.63"/>
    <n v="5310.52"/>
    <n v="1190.1600000000001"/>
    <n v="4120.3600000000006"/>
  </r>
  <r>
    <x v="68"/>
    <x v="2"/>
    <x v="3"/>
    <x v="10"/>
    <n v="6"/>
    <n v="1353.53"/>
    <n v="8121.18"/>
    <n v="1622.34"/>
    <n v="6498.84"/>
  </r>
  <r>
    <x v="69"/>
    <x v="5"/>
    <x v="3"/>
    <x v="10"/>
    <n v="2"/>
    <n v="2163.54"/>
    <n v="4327.08"/>
    <n v="493.22"/>
    <n v="3833.8599999999997"/>
  </r>
  <r>
    <x v="69"/>
    <x v="1"/>
    <x v="1"/>
    <x v="6"/>
    <n v="9"/>
    <n v="619.96"/>
    <n v="5579.64"/>
    <n v="1358.61"/>
    <n v="4221.0300000000007"/>
  </r>
  <r>
    <x v="70"/>
    <x v="3"/>
    <x v="0"/>
    <x v="1"/>
    <n v="6"/>
    <n v="2247.21"/>
    <n v="13483.26"/>
    <n v="3251.75"/>
    <n v="10231.51"/>
  </r>
  <r>
    <x v="70"/>
    <x v="1"/>
    <x v="0"/>
    <x v="0"/>
    <n v="10"/>
    <n v="1124.9000000000001"/>
    <n v="11249"/>
    <n v="1299.71"/>
    <n v="9949.2900000000009"/>
  </r>
  <r>
    <x v="70"/>
    <x v="1"/>
    <x v="2"/>
    <x v="11"/>
    <n v="8"/>
    <n v="948.49"/>
    <n v="7587.92"/>
    <n v="881.96"/>
    <n v="6705.96"/>
  </r>
  <r>
    <x v="71"/>
    <x v="1"/>
    <x v="0"/>
    <x v="0"/>
    <n v="10"/>
    <n v="952.32"/>
    <n v="9523.2000000000007"/>
    <n v="1565.3"/>
    <n v="7957.9000000000005"/>
  </r>
  <r>
    <x v="71"/>
    <x v="2"/>
    <x v="0"/>
    <x v="0"/>
    <n v="1"/>
    <n v="860.83"/>
    <n v="860.83"/>
    <n v="176.82"/>
    <n v="684.01"/>
  </r>
  <r>
    <x v="71"/>
    <x v="0"/>
    <x v="1"/>
    <x v="5"/>
    <n v="1"/>
    <n v="862.81"/>
    <n v="862.81"/>
    <n v="104.82"/>
    <n v="757.99"/>
  </r>
  <r>
    <x v="72"/>
    <x v="3"/>
    <x v="0"/>
    <x v="2"/>
    <n v="1"/>
    <n v="683.52"/>
    <n v="683.52"/>
    <n v="122.74"/>
    <n v="560.78"/>
  </r>
  <r>
    <x v="72"/>
    <x v="2"/>
    <x v="3"/>
    <x v="9"/>
    <n v="6"/>
    <n v="814.82"/>
    <n v="4888.92"/>
    <n v="717.43"/>
    <n v="4171.49"/>
  </r>
  <r>
    <x v="72"/>
    <x v="0"/>
    <x v="0"/>
    <x v="3"/>
    <n v="3"/>
    <n v="814.82"/>
    <n v="2444.46"/>
    <n v="470.99"/>
    <n v="1973.47"/>
  </r>
  <r>
    <x v="72"/>
    <x v="3"/>
    <x v="0"/>
    <x v="0"/>
    <n v="8"/>
    <n v="1823.88"/>
    <n v="14591.04"/>
    <n v="2522.0500000000002"/>
    <n v="12068.990000000002"/>
  </r>
  <r>
    <x v="73"/>
    <x v="2"/>
    <x v="1"/>
    <x v="6"/>
    <n v="9"/>
    <n v="727.64"/>
    <n v="6548.76"/>
    <n v="1077.19"/>
    <n v="5471.57"/>
  </r>
  <r>
    <x v="73"/>
    <x v="5"/>
    <x v="3"/>
    <x v="9"/>
    <n v="1"/>
    <n v="941.04"/>
    <n v="941.04"/>
    <n v="233.06"/>
    <n v="707.98"/>
  </r>
  <r>
    <x v="73"/>
    <x v="2"/>
    <x v="0"/>
    <x v="2"/>
    <n v="5"/>
    <n v="2390.65"/>
    <n v="11953.25"/>
    <n v="2571.17"/>
    <n v="9382.08"/>
  </r>
  <r>
    <x v="73"/>
    <x v="4"/>
    <x v="1"/>
    <x v="5"/>
    <n v="2"/>
    <n v="515.46"/>
    <n v="1030.92"/>
    <n v="218.61"/>
    <n v="812.31000000000006"/>
  </r>
  <r>
    <x v="74"/>
    <x v="2"/>
    <x v="3"/>
    <x v="10"/>
    <n v="9"/>
    <n v="1617.45"/>
    <n v="14557.05"/>
    <n v="2914.43"/>
    <n v="11642.619999999999"/>
  </r>
  <r>
    <x v="74"/>
    <x v="5"/>
    <x v="0"/>
    <x v="1"/>
    <n v="1"/>
    <n v="1372.44"/>
    <n v="1372.44"/>
    <n v="231.89"/>
    <n v="1140.5500000000002"/>
  </r>
  <r>
    <x v="75"/>
    <x v="2"/>
    <x v="3"/>
    <x v="9"/>
    <n v="7"/>
    <n v="1079.03"/>
    <n v="7553.21"/>
    <n v="1214.22"/>
    <n v="6338.99"/>
  </r>
  <r>
    <x v="75"/>
    <x v="5"/>
    <x v="2"/>
    <x v="7"/>
    <n v="8"/>
    <n v="2164.0500000000002"/>
    <n v="17312.400000000001"/>
    <n v="4119.75"/>
    <n v="13192.650000000001"/>
  </r>
  <r>
    <x v="75"/>
    <x v="5"/>
    <x v="3"/>
    <x v="10"/>
    <n v="4"/>
    <n v="1371.35"/>
    <n v="5485.4"/>
    <n v="878.03"/>
    <n v="4607.37"/>
  </r>
  <r>
    <x v="76"/>
    <x v="1"/>
    <x v="1"/>
    <x v="5"/>
    <n v="4"/>
    <n v="1166.1400000000001"/>
    <n v="4664.5600000000004"/>
    <n v="584.1"/>
    <n v="4080.4600000000005"/>
  </r>
  <r>
    <x v="76"/>
    <x v="0"/>
    <x v="0"/>
    <x v="2"/>
    <n v="6"/>
    <n v="1202.2"/>
    <n v="7213.2"/>
    <n v="1758.1"/>
    <n v="5455.1"/>
  </r>
  <r>
    <x v="76"/>
    <x v="1"/>
    <x v="2"/>
    <x v="11"/>
    <n v="2"/>
    <n v="792.89"/>
    <n v="1585.78"/>
    <n v="205.5"/>
    <n v="1380.28"/>
  </r>
  <r>
    <x v="76"/>
    <x v="3"/>
    <x v="2"/>
    <x v="7"/>
    <n v="2"/>
    <n v="854.29"/>
    <n v="1708.58"/>
    <n v="368.93"/>
    <n v="1339.6499999999999"/>
  </r>
  <r>
    <x v="77"/>
    <x v="3"/>
    <x v="3"/>
    <x v="9"/>
    <n v="6"/>
    <n v="801.91"/>
    <n v="4811.46"/>
    <n v="530.42999999999995"/>
    <n v="4281.03"/>
  </r>
  <r>
    <x v="77"/>
    <x v="2"/>
    <x v="1"/>
    <x v="5"/>
    <n v="10"/>
    <n v="612.34"/>
    <n v="6123.4"/>
    <n v="1078.33"/>
    <n v="5045.07"/>
  </r>
  <r>
    <x v="77"/>
    <x v="5"/>
    <x v="3"/>
    <x v="9"/>
    <n v="1"/>
    <n v="613.78"/>
    <n v="613.78"/>
    <n v="137.94999999999999"/>
    <n v="475.83"/>
  </r>
  <r>
    <x v="77"/>
    <x v="0"/>
    <x v="0"/>
    <x v="1"/>
    <n v="8"/>
    <n v="1660.66"/>
    <n v="13285.28"/>
    <n v="3230.11"/>
    <n v="10055.17"/>
  </r>
  <r>
    <x v="78"/>
    <x v="5"/>
    <x v="3"/>
    <x v="10"/>
    <n v="6"/>
    <n v="1710.01"/>
    <n v="10260.06"/>
    <n v="1797.61"/>
    <n v="8462.4499999999989"/>
  </r>
  <r>
    <x v="79"/>
    <x v="4"/>
    <x v="0"/>
    <x v="0"/>
    <n v="2"/>
    <n v="1509.1"/>
    <n v="3018.2"/>
    <n v="379.94"/>
    <n v="2638.2599999999998"/>
  </r>
  <r>
    <x v="79"/>
    <x v="2"/>
    <x v="3"/>
    <x v="9"/>
    <n v="9"/>
    <n v="1545.5"/>
    <n v="13909.5"/>
    <n v="1722.16"/>
    <n v="12187.34"/>
  </r>
  <r>
    <x v="79"/>
    <x v="5"/>
    <x v="1"/>
    <x v="12"/>
    <n v="7"/>
    <n v="2048.9299999999998"/>
    <n v="14342.51"/>
    <n v="2894.82"/>
    <n v="11447.69"/>
  </r>
  <r>
    <x v="79"/>
    <x v="2"/>
    <x v="1"/>
    <x v="4"/>
    <n v="6"/>
    <n v="689.01"/>
    <n v="4134.0600000000004"/>
    <n v="834.08"/>
    <n v="3299.9800000000005"/>
  </r>
  <r>
    <x v="80"/>
    <x v="2"/>
    <x v="2"/>
    <x v="8"/>
    <n v="2"/>
    <n v="1665.48"/>
    <n v="3330.96"/>
    <n v="403.76"/>
    <n v="2927.2"/>
  </r>
  <r>
    <x v="80"/>
    <x v="2"/>
    <x v="1"/>
    <x v="12"/>
    <n v="3"/>
    <n v="1690.08"/>
    <n v="5070.24"/>
    <n v="1220.4100000000001"/>
    <n v="3849.83"/>
  </r>
  <r>
    <x v="80"/>
    <x v="0"/>
    <x v="3"/>
    <x v="9"/>
    <n v="3"/>
    <n v="1840.23"/>
    <n v="5520.69"/>
    <n v="1238.53"/>
    <n v="4282.16"/>
  </r>
  <r>
    <x v="81"/>
    <x v="4"/>
    <x v="0"/>
    <x v="1"/>
    <n v="9"/>
    <n v="1223.6600000000001"/>
    <n v="11012.94"/>
    <n v="1700.28"/>
    <n v="9312.66"/>
  </r>
  <r>
    <x v="81"/>
    <x v="4"/>
    <x v="2"/>
    <x v="8"/>
    <n v="8"/>
    <n v="884.01"/>
    <n v="7072.08"/>
    <n v="1768"/>
    <n v="5304.08"/>
  </r>
  <r>
    <x v="81"/>
    <x v="0"/>
    <x v="0"/>
    <x v="0"/>
    <n v="2"/>
    <n v="1515.38"/>
    <n v="3030.76"/>
    <n v="548.46"/>
    <n v="2482.3000000000002"/>
  </r>
  <r>
    <x v="81"/>
    <x v="4"/>
    <x v="0"/>
    <x v="0"/>
    <n v="10"/>
    <n v="762.1"/>
    <n v="7621"/>
    <n v="1192.75"/>
    <n v="6428.25"/>
  </r>
  <r>
    <x v="81"/>
    <x v="3"/>
    <x v="2"/>
    <x v="7"/>
    <n v="10"/>
    <n v="2118.09"/>
    <n v="21180.9"/>
    <n v="2644.03"/>
    <n v="18536.870000000003"/>
  </r>
  <r>
    <x v="82"/>
    <x v="0"/>
    <x v="3"/>
    <x v="9"/>
    <n v="4"/>
    <n v="2439.1799999999998"/>
    <n v="9756.7199999999993"/>
    <n v="1869.28"/>
    <n v="7887.44"/>
  </r>
  <r>
    <x v="83"/>
    <x v="3"/>
    <x v="2"/>
    <x v="7"/>
    <n v="4"/>
    <n v="1118.94"/>
    <n v="4475.76"/>
    <n v="990.46"/>
    <n v="3485.3"/>
  </r>
  <r>
    <x v="83"/>
    <x v="2"/>
    <x v="2"/>
    <x v="8"/>
    <n v="10"/>
    <n v="2468.88"/>
    <n v="24688.799999999999"/>
    <n v="4178.63"/>
    <n v="20510.169999999998"/>
  </r>
  <r>
    <x v="83"/>
    <x v="4"/>
    <x v="3"/>
    <x v="9"/>
    <n v="3"/>
    <n v="2133.7800000000002"/>
    <n v="6401.34"/>
    <n v="1409.5"/>
    <n v="4991.84"/>
  </r>
  <r>
    <x v="83"/>
    <x v="5"/>
    <x v="1"/>
    <x v="4"/>
    <n v="8"/>
    <n v="2248.23"/>
    <n v="17985.84"/>
    <n v="3294.67"/>
    <n v="14691.17"/>
  </r>
  <r>
    <x v="84"/>
    <x v="1"/>
    <x v="0"/>
    <x v="0"/>
    <n v="2"/>
    <n v="2026.23"/>
    <n v="4052.46"/>
    <n v="571.07000000000005"/>
    <n v="3481.39"/>
  </r>
  <r>
    <x v="84"/>
    <x v="3"/>
    <x v="2"/>
    <x v="8"/>
    <n v="2"/>
    <n v="2392.83"/>
    <n v="4785.66"/>
    <n v="637.96"/>
    <n v="4147.7"/>
  </r>
  <r>
    <x v="84"/>
    <x v="4"/>
    <x v="1"/>
    <x v="4"/>
    <n v="7"/>
    <n v="606.51"/>
    <n v="4245.57"/>
    <n v="744.25"/>
    <n v="3501.3199999999997"/>
  </r>
  <r>
    <x v="84"/>
    <x v="5"/>
    <x v="3"/>
    <x v="10"/>
    <n v="6"/>
    <n v="949.08"/>
    <n v="5694.48"/>
    <n v="841.66"/>
    <n v="4852.82"/>
  </r>
  <r>
    <x v="84"/>
    <x v="3"/>
    <x v="1"/>
    <x v="6"/>
    <n v="3"/>
    <n v="576.61"/>
    <n v="1729.83"/>
    <n v="411.02"/>
    <n v="1318.81"/>
  </r>
  <r>
    <x v="85"/>
    <x v="2"/>
    <x v="3"/>
    <x v="9"/>
    <n v="10"/>
    <n v="510.5"/>
    <n v="5105"/>
    <n v="571.16999999999996"/>
    <n v="4533.83"/>
  </r>
  <r>
    <x v="85"/>
    <x v="3"/>
    <x v="2"/>
    <x v="11"/>
    <n v="9"/>
    <n v="2380.4499999999998"/>
    <n v="21424.05"/>
    <n v="4099.1099999999997"/>
    <n v="17324.939999999999"/>
  </r>
  <r>
    <x v="86"/>
    <x v="0"/>
    <x v="1"/>
    <x v="6"/>
    <n v="5"/>
    <n v="743.7"/>
    <n v="3718.5"/>
    <n v="504.85"/>
    <n v="3213.65"/>
  </r>
  <r>
    <x v="87"/>
    <x v="1"/>
    <x v="3"/>
    <x v="10"/>
    <n v="2"/>
    <n v="2173.38"/>
    <n v="4346.76"/>
    <n v="760.57"/>
    <n v="3586.19"/>
  </r>
  <r>
    <x v="87"/>
    <x v="2"/>
    <x v="0"/>
    <x v="2"/>
    <n v="3"/>
    <n v="1082.54"/>
    <n v="3247.62"/>
    <n v="325.52"/>
    <n v="2922.1"/>
  </r>
  <r>
    <x v="87"/>
    <x v="1"/>
    <x v="2"/>
    <x v="7"/>
    <n v="7"/>
    <n v="874.63"/>
    <n v="6122.41"/>
    <n v="1225.9000000000001"/>
    <n v="4896.51"/>
  </r>
  <r>
    <x v="87"/>
    <x v="1"/>
    <x v="1"/>
    <x v="4"/>
    <n v="9"/>
    <n v="1588.16"/>
    <n v="14293.44"/>
    <n v="3115.42"/>
    <n v="11178.02"/>
  </r>
  <r>
    <x v="87"/>
    <x v="2"/>
    <x v="0"/>
    <x v="1"/>
    <n v="8"/>
    <n v="587.07000000000005"/>
    <n v="4696.5600000000004"/>
    <n v="742.21"/>
    <n v="3954.3500000000004"/>
  </r>
  <r>
    <x v="88"/>
    <x v="0"/>
    <x v="0"/>
    <x v="0"/>
    <n v="2"/>
    <n v="1189.5999999999999"/>
    <n v="2379.1999999999998"/>
    <n v="499.49"/>
    <n v="1879.7099999999998"/>
  </r>
  <r>
    <x v="88"/>
    <x v="0"/>
    <x v="0"/>
    <x v="0"/>
    <n v="3"/>
    <n v="588.66999999999996"/>
    <n v="1766.01"/>
    <n v="321.24"/>
    <n v="1444.77"/>
  </r>
  <r>
    <x v="88"/>
    <x v="4"/>
    <x v="2"/>
    <x v="7"/>
    <n v="8"/>
    <n v="2461.64"/>
    <n v="19693.12"/>
    <n v="3382.88"/>
    <n v="16310.239999999998"/>
  </r>
  <r>
    <x v="89"/>
    <x v="4"/>
    <x v="0"/>
    <x v="1"/>
    <n v="1"/>
    <n v="1086.8900000000001"/>
    <n v="1086.8900000000001"/>
    <n v="115.83"/>
    <n v="971.06000000000006"/>
  </r>
  <r>
    <x v="89"/>
    <x v="1"/>
    <x v="0"/>
    <x v="0"/>
    <n v="5"/>
    <n v="1530.77"/>
    <n v="7653.85"/>
    <n v="1900.97"/>
    <n v="5752.88"/>
  </r>
  <r>
    <x v="90"/>
    <x v="5"/>
    <x v="1"/>
    <x v="4"/>
    <n v="4"/>
    <n v="1072.22"/>
    <n v="4288.88"/>
    <n v="983.53"/>
    <n v="3305.3500000000004"/>
  </r>
  <r>
    <x v="90"/>
    <x v="3"/>
    <x v="1"/>
    <x v="5"/>
    <n v="2"/>
    <n v="2098.6799999999998"/>
    <n v="4197.3599999999997"/>
    <n v="694.84"/>
    <n v="3502.5199999999995"/>
  </r>
  <r>
    <x v="90"/>
    <x v="3"/>
    <x v="3"/>
    <x v="9"/>
    <n v="6"/>
    <n v="2447.4499999999998"/>
    <n v="14684.7"/>
    <n v="2561.46"/>
    <n v="12123.240000000002"/>
  </r>
  <r>
    <x v="90"/>
    <x v="1"/>
    <x v="1"/>
    <x v="5"/>
    <n v="2"/>
    <n v="1954.16"/>
    <n v="3908.32"/>
    <n v="437.1"/>
    <n v="3471.2200000000003"/>
  </r>
  <r>
    <x v="91"/>
    <x v="2"/>
    <x v="1"/>
    <x v="5"/>
    <n v="2"/>
    <n v="660.14"/>
    <n v="1320.28"/>
    <n v="262.92"/>
    <n v="1057.3599999999999"/>
  </r>
  <r>
    <x v="91"/>
    <x v="5"/>
    <x v="3"/>
    <x v="9"/>
    <n v="3"/>
    <n v="1879.53"/>
    <n v="5638.59"/>
    <n v="861.19"/>
    <n v="4777.3999999999996"/>
  </r>
  <r>
    <x v="92"/>
    <x v="2"/>
    <x v="3"/>
    <x v="9"/>
    <n v="1"/>
    <n v="650.08000000000004"/>
    <n v="650.08000000000004"/>
    <n v="127.17"/>
    <n v="522.91000000000008"/>
  </r>
  <r>
    <x v="92"/>
    <x v="3"/>
    <x v="2"/>
    <x v="11"/>
    <n v="3"/>
    <n v="2197.34"/>
    <n v="6592.02"/>
    <n v="1329.7"/>
    <n v="5262.3200000000006"/>
  </r>
  <r>
    <x v="92"/>
    <x v="2"/>
    <x v="0"/>
    <x v="2"/>
    <n v="2"/>
    <n v="971.99"/>
    <n v="1943.98"/>
    <n v="382.53"/>
    <n v="1561.45"/>
  </r>
  <r>
    <x v="93"/>
    <x v="5"/>
    <x v="0"/>
    <x v="2"/>
    <n v="8"/>
    <n v="2397.65"/>
    <n v="19181.2"/>
    <n v="2988.47"/>
    <n v="16192.730000000001"/>
  </r>
  <r>
    <x v="93"/>
    <x v="4"/>
    <x v="2"/>
    <x v="7"/>
    <n v="6"/>
    <n v="1296.07"/>
    <n v="7776.42"/>
    <n v="1535.33"/>
    <n v="6241.09"/>
  </r>
  <r>
    <x v="93"/>
    <x v="1"/>
    <x v="0"/>
    <x v="3"/>
    <n v="3"/>
    <n v="1498.09"/>
    <n v="4494.2700000000004"/>
    <n v="710.31"/>
    <n v="3783.9600000000005"/>
  </r>
  <r>
    <x v="93"/>
    <x v="1"/>
    <x v="0"/>
    <x v="0"/>
    <n v="5"/>
    <n v="1908.08"/>
    <n v="9540.4"/>
    <n v="1261.0999999999999"/>
    <n v="8279.2999999999993"/>
  </r>
  <r>
    <x v="94"/>
    <x v="4"/>
    <x v="3"/>
    <x v="10"/>
    <n v="2"/>
    <n v="771.46"/>
    <n v="1542.92"/>
    <n v="171.43"/>
    <n v="1371.49"/>
  </r>
  <r>
    <x v="94"/>
    <x v="1"/>
    <x v="3"/>
    <x v="10"/>
    <n v="6"/>
    <n v="1835.68"/>
    <n v="11014.08"/>
    <n v="2273.65"/>
    <n v="8740.43"/>
  </r>
  <r>
    <x v="94"/>
    <x v="0"/>
    <x v="1"/>
    <x v="5"/>
    <n v="3"/>
    <n v="1923.62"/>
    <n v="5770.86"/>
    <n v="1379.8"/>
    <n v="4391.0599999999995"/>
  </r>
  <r>
    <x v="95"/>
    <x v="4"/>
    <x v="1"/>
    <x v="6"/>
    <n v="2"/>
    <n v="2470.27"/>
    <n v="4940.54"/>
    <n v="1081.04"/>
    <n v="3859.5"/>
  </r>
  <r>
    <x v="95"/>
    <x v="1"/>
    <x v="3"/>
    <x v="10"/>
    <n v="6"/>
    <n v="1608.04"/>
    <n v="9648.24"/>
    <n v="1498.73"/>
    <n v="8149.51"/>
  </r>
  <r>
    <x v="96"/>
    <x v="3"/>
    <x v="0"/>
    <x v="3"/>
    <n v="5"/>
    <n v="1296.32"/>
    <n v="6481.6"/>
    <n v="1345.19"/>
    <n v="5136.41"/>
  </r>
  <r>
    <x v="96"/>
    <x v="0"/>
    <x v="3"/>
    <x v="9"/>
    <n v="10"/>
    <n v="647.5"/>
    <n v="6475"/>
    <n v="1591.92"/>
    <n v="4883.08"/>
  </r>
  <r>
    <x v="97"/>
    <x v="1"/>
    <x v="3"/>
    <x v="9"/>
    <n v="9"/>
    <n v="1189.03"/>
    <n v="10701.27"/>
    <n v="2479.42"/>
    <n v="8221.85"/>
  </r>
  <r>
    <x v="98"/>
    <x v="5"/>
    <x v="2"/>
    <x v="11"/>
    <n v="7"/>
    <n v="1505.73"/>
    <n v="10540.11"/>
    <n v="2426.67"/>
    <n v="8113.4400000000005"/>
  </r>
  <r>
    <x v="98"/>
    <x v="4"/>
    <x v="2"/>
    <x v="8"/>
    <n v="3"/>
    <n v="823.93"/>
    <n v="2471.79"/>
    <n v="593.75"/>
    <n v="1878.04"/>
  </r>
  <r>
    <x v="98"/>
    <x v="1"/>
    <x v="1"/>
    <x v="5"/>
    <n v="2"/>
    <n v="1001.21"/>
    <n v="2002.42"/>
    <n v="390.99"/>
    <n v="1611.43"/>
  </r>
  <r>
    <x v="98"/>
    <x v="0"/>
    <x v="1"/>
    <x v="6"/>
    <n v="5"/>
    <n v="1728.86"/>
    <n v="8644.2999999999993"/>
    <n v="985.57"/>
    <n v="7658.73"/>
  </r>
  <r>
    <x v="98"/>
    <x v="0"/>
    <x v="2"/>
    <x v="7"/>
    <n v="10"/>
    <n v="808.39"/>
    <n v="8083.9"/>
    <n v="1607.16"/>
    <n v="6476.74"/>
  </r>
  <r>
    <x v="99"/>
    <x v="1"/>
    <x v="1"/>
    <x v="4"/>
    <n v="1"/>
    <n v="662.45"/>
    <n v="662.45"/>
    <n v="160.5"/>
    <n v="501.95000000000005"/>
  </r>
  <r>
    <x v="99"/>
    <x v="3"/>
    <x v="1"/>
    <x v="6"/>
    <n v="10"/>
    <n v="1333.17"/>
    <n v="13331.7"/>
    <n v="2611"/>
    <n v="10720.7"/>
  </r>
  <r>
    <x v="99"/>
    <x v="3"/>
    <x v="1"/>
    <x v="5"/>
    <n v="8"/>
    <n v="989.76"/>
    <n v="7918.08"/>
    <n v="1750.71"/>
    <n v="6167.37"/>
  </r>
  <r>
    <x v="99"/>
    <x v="3"/>
    <x v="1"/>
    <x v="12"/>
    <n v="2"/>
    <n v="1877.23"/>
    <n v="3754.46"/>
    <n v="464.47"/>
    <n v="3289.99"/>
  </r>
  <r>
    <x v="99"/>
    <x v="0"/>
    <x v="3"/>
    <x v="9"/>
    <n v="4"/>
    <n v="1180.3900000000001"/>
    <n v="4721.5600000000004"/>
    <n v="573.91"/>
    <n v="4147.6500000000005"/>
  </r>
  <r>
    <x v="100"/>
    <x v="5"/>
    <x v="1"/>
    <x v="12"/>
    <n v="3"/>
    <n v="2021.33"/>
    <n v="6063.99"/>
    <n v="1074.82"/>
    <n v="4989.17"/>
  </r>
  <r>
    <x v="100"/>
    <x v="4"/>
    <x v="1"/>
    <x v="6"/>
    <n v="8"/>
    <n v="745.04"/>
    <n v="5960.32"/>
    <n v="997.99"/>
    <n v="4962.33"/>
  </r>
  <r>
    <x v="100"/>
    <x v="3"/>
    <x v="0"/>
    <x v="3"/>
    <n v="5"/>
    <n v="2390.77"/>
    <n v="11953.85"/>
    <n v="2744.9"/>
    <n v="9208.9500000000007"/>
  </r>
  <r>
    <x v="101"/>
    <x v="4"/>
    <x v="2"/>
    <x v="8"/>
    <n v="10"/>
    <n v="1942.26"/>
    <n v="19422.599999999999"/>
    <n v="2495.3200000000002"/>
    <n v="16927.28"/>
  </r>
  <r>
    <x v="101"/>
    <x v="5"/>
    <x v="3"/>
    <x v="9"/>
    <n v="8"/>
    <n v="2258.15"/>
    <n v="18065.2"/>
    <n v="3154.28"/>
    <n v="14910.92"/>
  </r>
  <r>
    <x v="102"/>
    <x v="2"/>
    <x v="3"/>
    <x v="10"/>
    <n v="4"/>
    <n v="1666.69"/>
    <n v="6666.76"/>
    <n v="715.33"/>
    <n v="5951.43"/>
  </r>
  <r>
    <x v="102"/>
    <x v="3"/>
    <x v="3"/>
    <x v="9"/>
    <n v="5"/>
    <n v="1573.38"/>
    <n v="7866.9"/>
    <n v="1786.38"/>
    <n v="6080.5199999999995"/>
  </r>
  <r>
    <x v="102"/>
    <x v="3"/>
    <x v="2"/>
    <x v="8"/>
    <n v="6"/>
    <n v="2027.71"/>
    <n v="12166.26"/>
    <n v="1884.44"/>
    <n v="10281.82"/>
  </r>
  <r>
    <x v="102"/>
    <x v="1"/>
    <x v="0"/>
    <x v="2"/>
    <n v="6"/>
    <n v="1606.45"/>
    <n v="9638.7000000000007"/>
    <n v="1070.18"/>
    <n v="8568.52"/>
  </r>
  <r>
    <x v="103"/>
    <x v="2"/>
    <x v="1"/>
    <x v="4"/>
    <n v="3"/>
    <n v="2450.17"/>
    <n v="7350.51"/>
    <n v="1169.3599999999999"/>
    <n v="6181.1500000000005"/>
  </r>
  <r>
    <x v="103"/>
    <x v="5"/>
    <x v="1"/>
    <x v="6"/>
    <n v="4"/>
    <n v="1704.93"/>
    <n v="6819.72"/>
    <n v="1092.57"/>
    <n v="5727.1500000000005"/>
  </r>
  <r>
    <x v="103"/>
    <x v="1"/>
    <x v="0"/>
    <x v="3"/>
    <n v="3"/>
    <n v="1927.18"/>
    <n v="5781.54"/>
    <n v="1275.3800000000001"/>
    <n v="4506.16"/>
  </r>
  <r>
    <x v="103"/>
    <x v="1"/>
    <x v="3"/>
    <x v="10"/>
    <n v="10"/>
    <n v="2286.2600000000002"/>
    <n v="22862.6"/>
    <n v="2765.62"/>
    <n v="20096.98"/>
  </r>
  <r>
    <x v="104"/>
    <x v="2"/>
    <x v="2"/>
    <x v="8"/>
    <n v="10"/>
    <n v="1978.64"/>
    <n v="19786.400000000001"/>
    <n v="2866.76"/>
    <n v="16919.64"/>
  </r>
  <r>
    <x v="104"/>
    <x v="0"/>
    <x v="3"/>
    <x v="9"/>
    <n v="8"/>
    <n v="2131.5"/>
    <n v="17052"/>
    <n v="2647.39"/>
    <n v="14404.61"/>
  </r>
  <r>
    <x v="104"/>
    <x v="0"/>
    <x v="0"/>
    <x v="1"/>
    <n v="10"/>
    <n v="1115.3599999999999"/>
    <n v="11153.6"/>
    <n v="2619.0300000000002"/>
    <n v="8534.57"/>
  </r>
  <r>
    <x v="105"/>
    <x v="1"/>
    <x v="3"/>
    <x v="9"/>
    <n v="10"/>
    <n v="1655.27"/>
    <n v="16552.7"/>
    <n v="3446.44"/>
    <n v="13106.26"/>
  </r>
  <r>
    <x v="106"/>
    <x v="0"/>
    <x v="2"/>
    <x v="7"/>
    <n v="10"/>
    <n v="2049.21"/>
    <n v="20492.099999999999"/>
    <n v="3217.84"/>
    <n v="17274.259999999998"/>
  </r>
  <r>
    <x v="106"/>
    <x v="5"/>
    <x v="2"/>
    <x v="11"/>
    <n v="10"/>
    <n v="2396.41"/>
    <n v="23964.1"/>
    <n v="2791.44"/>
    <n v="21172.66"/>
  </r>
  <r>
    <x v="106"/>
    <x v="3"/>
    <x v="3"/>
    <x v="9"/>
    <n v="7"/>
    <n v="802.86"/>
    <n v="5620.02"/>
    <n v="1144.0999999999999"/>
    <n v="4475.92"/>
  </r>
  <r>
    <x v="106"/>
    <x v="0"/>
    <x v="3"/>
    <x v="10"/>
    <n v="3"/>
    <n v="1537.37"/>
    <n v="4612.1099999999997"/>
    <n v="849.24"/>
    <n v="3762.87"/>
  </r>
  <r>
    <x v="107"/>
    <x v="1"/>
    <x v="3"/>
    <x v="9"/>
    <n v="3"/>
    <n v="1419.33"/>
    <n v="4257.99"/>
    <n v="766.31"/>
    <n v="3491.68"/>
  </r>
  <r>
    <x v="107"/>
    <x v="2"/>
    <x v="1"/>
    <x v="5"/>
    <n v="10"/>
    <n v="1468.36"/>
    <n v="14683.6"/>
    <n v="3576.93"/>
    <n v="11106.67"/>
  </r>
  <r>
    <x v="107"/>
    <x v="0"/>
    <x v="1"/>
    <x v="6"/>
    <n v="5"/>
    <n v="2042.35"/>
    <n v="10211.75"/>
    <n v="2100.92"/>
    <n v="8110.83"/>
  </r>
  <r>
    <x v="107"/>
    <x v="0"/>
    <x v="3"/>
    <x v="9"/>
    <n v="8"/>
    <n v="1197.6099999999999"/>
    <n v="9580.8799999999992"/>
    <n v="2299.94"/>
    <n v="7280.9399999999987"/>
  </r>
  <r>
    <x v="108"/>
    <x v="3"/>
    <x v="1"/>
    <x v="4"/>
    <n v="10"/>
    <n v="1853.24"/>
    <n v="18532.400000000001"/>
    <n v="2908.74"/>
    <n v="15623.660000000002"/>
  </r>
  <r>
    <x v="108"/>
    <x v="5"/>
    <x v="1"/>
    <x v="6"/>
    <n v="5"/>
    <n v="584.13"/>
    <n v="2920.65"/>
    <n v="710.59"/>
    <n v="2210.06"/>
  </r>
  <r>
    <x v="108"/>
    <x v="1"/>
    <x v="1"/>
    <x v="12"/>
    <n v="5"/>
    <n v="1994.68"/>
    <n v="9973.4"/>
    <n v="1317.47"/>
    <n v="8655.93"/>
  </r>
  <r>
    <x v="109"/>
    <x v="4"/>
    <x v="1"/>
    <x v="6"/>
    <n v="2"/>
    <n v="1731.35"/>
    <n v="3462.7"/>
    <n v="651.07000000000005"/>
    <n v="2811.6299999999997"/>
  </r>
  <r>
    <x v="109"/>
    <x v="0"/>
    <x v="0"/>
    <x v="2"/>
    <n v="4"/>
    <n v="604.98"/>
    <n v="2419.92"/>
    <n v="392.02"/>
    <n v="2027.9"/>
  </r>
  <r>
    <x v="109"/>
    <x v="4"/>
    <x v="3"/>
    <x v="10"/>
    <n v="3"/>
    <n v="510.36"/>
    <n v="1531.08"/>
    <n v="279.5"/>
    <n v="1251.58"/>
  </r>
  <r>
    <x v="110"/>
    <x v="2"/>
    <x v="3"/>
    <x v="9"/>
    <n v="4"/>
    <n v="2011.82"/>
    <n v="8047.28"/>
    <n v="1151.46"/>
    <n v="6895.82"/>
  </r>
  <r>
    <x v="110"/>
    <x v="5"/>
    <x v="0"/>
    <x v="3"/>
    <n v="10"/>
    <n v="964.44"/>
    <n v="9644.4"/>
    <n v="2033.07"/>
    <n v="7611.33"/>
  </r>
  <r>
    <x v="110"/>
    <x v="3"/>
    <x v="2"/>
    <x v="8"/>
    <n v="3"/>
    <n v="2367.85"/>
    <n v="7103.55"/>
    <n v="749.08"/>
    <n v="6354.47"/>
  </r>
  <r>
    <x v="110"/>
    <x v="1"/>
    <x v="3"/>
    <x v="10"/>
    <n v="5"/>
    <n v="2253.4899999999998"/>
    <n v="11267.45"/>
    <n v="1142.4100000000001"/>
    <n v="10125.040000000001"/>
  </r>
  <r>
    <x v="111"/>
    <x v="1"/>
    <x v="0"/>
    <x v="0"/>
    <n v="5"/>
    <n v="1408.7"/>
    <n v="7043.5"/>
    <n v="1381.91"/>
    <n v="5661.59"/>
  </r>
  <r>
    <x v="111"/>
    <x v="5"/>
    <x v="3"/>
    <x v="10"/>
    <n v="9"/>
    <n v="1436.04"/>
    <n v="12924.36"/>
    <n v="1666.23"/>
    <n v="11258.130000000001"/>
  </r>
  <r>
    <x v="111"/>
    <x v="5"/>
    <x v="1"/>
    <x v="6"/>
    <n v="8"/>
    <n v="1796.57"/>
    <n v="14372.56"/>
    <n v="2986.47"/>
    <n v="11386.09"/>
  </r>
  <r>
    <x v="111"/>
    <x v="1"/>
    <x v="1"/>
    <x v="5"/>
    <n v="10"/>
    <n v="1848.8"/>
    <n v="18488"/>
    <n v="2384.4699999999998"/>
    <n v="16103.53"/>
  </r>
  <r>
    <x v="111"/>
    <x v="5"/>
    <x v="3"/>
    <x v="9"/>
    <n v="9"/>
    <n v="1155.8499999999999"/>
    <n v="10402.65"/>
    <n v="1665.72"/>
    <n v="8736.93"/>
  </r>
  <r>
    <x v="112"/>
    <x v="3"/>
    <x v="2"/>
    <x v="8"/>
    <n v="6"/>
    <n v="2371.65"/>
    <n v="14229.9"/>
    <n v="1437.57"/>
    <n v="12792.33"/>
  </r>
  <r>
    <x v="112"/>
    <x v="0"/>
    <x v="2"/>
    <x v="8"/>
    <n v="5"/>
    <n v="2408.0700000000002"/>
    <n v="12040.35"/>
    <n v="1749.37"/>
    <n v="10290.98"/>
  </r>
  <r>
    <x v="113"/>
    <x v="5"/>
    <x v="0"/>
    <x v="0"/>
    <n v="6"/>
    <n v="1885.54"/>
    <n v="11313.24"/>
    <n v="1236.75"/>
    <n v="10076.49"/>
  </r>
  <r>
    <x v="113"/>
    <x v="0"/>
    <x v="3"/>
    <x v="9"/>
    <n v="3"/>
    <n v="1310.83"/>
    <n v="3932.49"/>
    <n v="689.67"/>
    <n v="3242.8199999999997"/>
  </r>
  <r>
    <x v="113"/>
    <x v="4"/>
    <x v="1"/>
    <x v="4"/>
    <n v="5"/>
    <n v="1235.0899999999999"/>
    <n v="6175.45"/>
    <n v="822.12"/>
    <n v="5353.33"/>
  </r>
  <r>
    <x v="113"/>
    <x v="3"/>
    <x v="3"/>
    <x v="10"/>
    <n v="8"/>
    <n v="1995.47"/>
    <n v="15963.76"/>
    <n v="3046.86"/>
    <n v="12916.9"/>
  </r>
  <r>
    <x v="113"/>
    <x v="5"/>
    <x v="3"/>
    <x v="10"/>
    <n v="4"/>
    <n v="1860.68"/>
    <n v="7442.72"/>
    <n v="1409.44"/>
    <n v="6033.2800000000007"/>
  </r>
  <r>
    <x v="114"/>
    <x v="1"/>
    <x v="3"/>
    <x v="9"/>
    <n v="2"/>
    <n v="2334.4899999999998"/>
    <n v="4668.9799999999996"/>
    <n v="545.48"/>
    <n v="4123.5"/>
  </r>
  <r>
    <x v="114"/>
    <x v="1"/>
    <x v="2"/>
    <x v="7"/>
    <n v="9"/>
    <n v="799.7"/>
    <n v="7197.3"/>
    <n v="1073.96"/>
    <n v="6123.34"/>
  </r>
  <r>
    <x v="114"/>
    <x v="1"/>
    <x v="3"/>
    <x v="10"/>
    <n v="4"/>
    <n v="1933.84"/>
    <n v="7735.36"/>
    <n v="1340.73"/>
    <n v="6394.6299999999992"/>
  </r>
  <r>
    <x v="114"/>
    <x v="1"/>
    <x v="3"/>
    <x v="10"/>
    <n v="8"/>
    <n v="763.89"/>
    <n v="6111.12"/>
    <n v="991.92"/>
    <n v="5119.2"/>
  </r>
  <r>
    <x v="114"/>
    <x v="5"/>
    <x v="0"/>
    <x v="1"/>
    <n v="5"/>
    <n v="1946.56"/>
    <n v="9732.7999999999993"/>
    <n v="1551.33"/>
    <n v="8181.4699999999993"/>
  </r>
  <r>
    <x v="115"/>
    <x v="5"/>
    <x v="0"/>
    <x v="3"/>
    <n v="7"/>
    <n v="1189.06"/>
    <n v="8323.42"/>
    <n v="911.95"/>
    <n v="7411.47"/>
  </r>
  <r>
    <x v="115"/>
    <x v="4"/>
    <x v="0"/>
    <x v="1"/>
    <n v="1"/>
    <n v="1074.18"/>
    <n v="1074.18"/>
    <n v="136.41999999999999"/>
    <n v="937.7600000000001"/>
  </r>
  <r>
    <x v="116"/>
    <x v="3"/>
    <x v="1"/>
    <x v="12"/>
    <n v="8"/>
    <n v="2239.2399999999998"/>
    <n v="17913.919999999998"/>
    <n v="4227.96"/>
    <n v="13685.96"/>
  </r>
  <r>
    <x v="116"/>
    <x v="3"/>
    <x v="0"/>
    <x v="2"/>
    <n v="6"/>
    <n v="737.27"/>
    <n v="4423.62"/>
    <n v="1101.1600000000001"/>
    <n v="3322.46"/>
  </r>
  <r>
    <x v="116"/>
    <x v="2"/>
    <x v="2"/>
    <x v="7"/>
    <n v="4"/>
    <n v="2169.64"/>
    <n v="8678.56"/>
    <n v="1852.24"/>
    <n v="6826.32"/>
  </r>
  <r>
    <x v="116"/>
    <x v="3"/>
    <x v="3"/>
    <x v="9"/>
    <n v="9"/>
    <n v="1258.55"/>
    <n v="11326.95"/>
    <n v="1522.9"/>
    <n v="9804.0500000000011"/>
  </r>
  <r>
    <x v="117"/>
    <x v="5"/>
    <x v="2"/>
    <x v="8"/>
    <n v="4"/>
    <n v="2374.8200000000002"/>
    <n v="9499.2800000000007"/>
    <n v="1983.01"/>
    <n v="7516.27"/>
  </r>
  <r>
    <x v="117"/>
    <x v="5"/>
    <x v="0"/>
    <x v="1"/>
    <n v="10"/>
    <n v="2032.11"/>
    <n v="20321.099999999999"/>
    <n v="4725.95"/>
    <n v="15595.149999999998"/>
  </r>
  <r>
    <x v="117"/>
    <x v="1"/>
    <x v="2"/>
    <x v="11"/>
    <n v="2"/>
    <n v="701.79"/>
    <n v="1403.58"/>
    <n v="147.43"/>
    <n v="1256.1499999999999"/>
  </r>
  <r>
    <x v="118"/>
    <x v="4"/>
    <x v="2"/>
    <x v="7"/>
    <n v="1"/>
    <n v="1304.53"/>
    <n v="1304.53"/>
    <n v="176.31"/>
    <n v="1128.22"/>
  </r>
  <r>
    <x v="119"/>
    <x v="1"/>
    <x v="2"/>
    <x v="7"/>
    <n v="5"/>
    <n v="968.32"/>
    <n v="4841.6000000000004"/>
    <n v="1149.68"/>
    <n v="3691.92"/>
  </r>
  <r>
    <x v="120"/>
    <x v="1"/>
    <x v="1"/>
    <x v="6"/>
    <n v="5"/>
    <n v="2252.52"/>
    <n v="11262.6"/>
    <n v="2791.48"/>
    <n v="8471.1200000000008"/>
  </r>
  <r>
    <x v="120"/>
    <x v="1"/>
    <x v="2"/>
    <x v="8"/>
    <n v="5"/>
    <n v="1050.31"/>
    <n v="5251.55"/>
    <n v="963.7"/>
    <n v="4287.8500000000004"/>
  </r>
  <r>
    <x v="120"/>
    <x v="2"/>
    <x v="2"/>
    <x v="7"/>
    <n v="7"/>
    <n v="1611.7"/>
    <n v="11281.9"/>
    <n v="1207.53"/>
    <n v="10074.369999999999"/>
  </r>
  <r>
    <x v="121"/>
    <x v="1"/>
    <x v="1"/>
    <x v="12"/>
    <n v="7"/>
    <n v="798.44"/>
    <n v="5589.08"/>
    <n v="874.52"/>
    <n v="4714.5599999999995"/>
  </r>
  <r>
    <x v="121"/>
    <x v="3"/>
    <x v="3"/>
    <x v="10"/>
    <n v="4"/>
    <n v="1101.47"/>
    <n v="4405.88"/>
    <n v="908.21"/>
    <n v="3497.67"/>
  </r>
  <r>
    <x v="121"/>
    <x v="4"/>
    <x v="0"/>
    <x v="1"/>
    <n v="7"/>
    <n v="1614.57"/>
    <n v="11301.99"/>
    <n v="1357.53"/>
    <n v="9944.4599999999991"/>
  </r>
  <r>
    <x v="121"/>
    <x v="2"/>
    <x v="1"/>
    <x v="6"/>
    <n v="6"/>
    <n v="1793.41"/>
    <n v="10760.46"/>
    <n v="2564.58"/>
    <n v="8195.8799999999992"/>
  </r>
  <r>
    <x v="122"/>
    <x v="5"/>
    <x v="2"/>
    <x v="11"/>
    <n v="5"/>
    <n v="1254.3399999999999"/>
    <n v="6271.7"/>
    <n v="1196.3"/>
    <n v="5075.3999999999996"/>
  </r>
  <r>
    <x v="123"/>
    <x v="2"/>
    <x v="2"/>
    <x v="7"/>
    <n v="9"/>
    <n v="934.03"/>
    <n v="8406.27"/>
    <n v="1104.02"/>
    <n v="7302.25"/>
  </r>
  <r>
    <x v="124"/>
    <x v="3"/>
    <x v="0"/>
    <x v="2"/>
    <n v="4"/>
    <n v="2424.16"/>
    <n v="9696.64"/>
    <n v="1140.3"/>
    <n v="8556.34"/>
  </r>
  <r>
    <x v="124"/>
    <x v="4"/>
    <x v="2"/>
    <x v="7"/>
    <n v="10"/>
    <n v="1907.54"/>
    <n v="19075.400000000001"/>
    <n v="3042.43"/>
    <n v="16032.970000000001"/>
  </r>
  <r>
    <x v="124"/>
    <x v="2"/>
    <x v="1"/>
    <x v="5"/>
    <n v="7"/>
    <n v="1432.5"/>
    <n v="10027.5"/>
    <n v="1978.51"/>
    <n v="8048.99"/>
  </r>
  <r>
    <x v="125"/>
    <x v="3"/>
    <x v="1"/>
    <x v="12"/>
    <n v="8"/>
    <n v="697.22"/>
    <n v="5577.76"/>
    <n v="1378.81"/>
    <n v="4198.9500000000007"/>
  </r>
  <r>
    <x v="125"/>
    <x v="4"/>
    <x v="1"/>
    <x v="6"/>
    <n v="6"/>
    <n v="1125.8399999999999"/>
    <n v="6755.04"/>
    <n v="721.83"/>
    <n v="6033.21"/>
  </r>
  <r>
    <x v="125"/>
    <x v="0"/>
    <x v="2"/>
    <x v="11"/>
    <n v="5"/>
    <n v="1606.62"/>
    <n v="8033.1"/>
    <n v="1507.05"/>
    <n v="6526.05"/>
  </r>
  <r>
    <x v="126"/>
    <x v="4"/>
    <x v="1"/>
    <x v="6"/>
    <n v="4"/>
    <n v="1159.73"/>
    <n v="4638.92"/>
    <n v="728.2"/>
    <n v="3910.7200000000003"/>
  </r>
  <r>
    <x v="126"/>
    <x v="0"/>
    <x v="3"/>
    <x v="9"/>
    <n v="5"/>
    <n v="2026.72"/>
    <n v="10133.6"/>
    <n v="1756.08"/>
    <n v="8377.52"/>
  </r>
  <r>
    <x v="126"/>
    <x v="4"/>
    <x v="3"/>
    <x v="9"/>
    <n v="3"/>
    <n v="1965.54"/>
    <n v="5896.62"/>
    <n v="901.16"/>
    <n v="4995.46"/>
  </r>
  <r>
    <x v="126"/>
    <x v="1"/>
    <x v="3"/>
    <x v="10"/>
    <n v="9"/>
    <n v="2480.65"/>
    <n v="22325.85"/>
    <n v="5438.25"/>
    <n v="16887.599999999999"/>
  </r>
  <r>
    <x v="127"/>
    <x v="4"/>
    <x v="0"/>
    <x v="3"/>
    <n v="1"/>
    <n v="1324.78"/>
    <n v="1324.78"/>
    <n v="299.91000000000003"/>
    <n v="1024.8699999999999"/>
  </r>
  <r>
    <x v="128"/>
    <x v="1"/>
    <x v="2"/>
    <x v="11"/>
    <n v="4"/>
    <n v="1511.47"/>
    <n v="6045.88"/>
    <n v="943.04"/>
    <n v="5102.84"/>
  </r>
  <r>
    <x v="129"/>
    <x v="5"/>
    <x v="3"/>
    <x v="9"/>
    <n v="1"/>
    <n v="513.22"/>
    <n v="513.22"/>
    <n v="93.79"/>
    <n v="419.43"/>
  </r>
  <r>
    <x v="129"/>
    <x v="0"/>
    <x v="0"/>
    <x v="0"/>
    <n v="9"/>
    <n v="2454.96"/>
    <n v="22094.639999999999"/>
    <n v="2266.2800000000002"/>
    <n v="19828.36"/>
  </r>
  <r>
    <x v="129"/>
    <x v="4"/>
    <x v="3"/>
    <x v="10"/>
    <n v="2"/>
    <n v="2336.1"/>
    <n v="4672.2"/>
    <n v="834.73"/>
    <n v="3837.47"/>
  </r>
  <r>
    <x v="129"/>
    <x v="3"/>
    <x v="2"/>
    <x v="7"/>
    <n v="9"/>
    <n v="1004.84"/>
    <n v="9043.56"/>
    <n v="1385.17"/>
    <n v="7658.3899999999994"/>
  </r>
  <r>
    <x v="129"/>
    <x v="0"/>
    <x v="0"/>
    <x v="0"/>
    <n v="7"/>
    <n v="1418"/>
    <n v="9926"/>
    <n v="1354.71"/>
    <n v="8571.2900000000009"/>
  </r>
  <r>
    <x v="130"/>
    <x v="1"/>
    <x v="1"/>
    <x v="4"/>
    <n v="1"/>
    <n v="687"/>
    <n v="687"/>
    <n v="107.78"/>
    <n v="579.22"/>
  </r>
  <r>
    <x v="130"/>
    <x v="3"/>
    <x v="3"/>
    <x v="10"/>
    <n v="1"/>
    <n v="1905.69"/>
    <n v="1905.69"/>
    <n v="214.21"/>
    <n v="1691.48"/>
  </r>
  <r>
    <x v="131"/>
    <x v="1"/>
    <x v="0"/>
    <x v="3"/>
    <n v="4"/>
    <n v="922.83"/>
    <n v="3691.32"/>
    <n v="849.81"/>
    <n v="2841.51"/>
  </r>
  <r>
    <x v="131"/>
    <x v="2"/>
    <x v="3"/>
    <x v="9"/>
    <n v="1"/>
    <n v="2348.3200000000002"/>
    <n v="2348.3200000000002"/>
    <n v="475.92"/>
    <n v="1872.4"/>
  </r>
  <r>
    <x v="131"/>
    <x v="4"/>
    <x v="0"/>
    <x v="2"/>
    <n v="6"/>
    <n v="531.32000000000005"/>
    <n v="3187.92"/>
    <n v="417.85"/>
    <n v="2770.07"/>
  </r>
  <r>
    <x v="132"/>
    <x v="3"/>
    <x v="0"/>
    <x v="0"/>
    <n v="3"/>
    <n v="1627.92"/>
    <n v="4883.76"/>
    <n v="903.52"/>
    <n v="3980.2400000000002"/>
  </r>
  <r>
    <x v="132"/>
    <x v="5"/>
    <x v="1"/>
    <x v="12"/>
    <n v="3"/>
    <n v="2081"/>
    <n v="6243"/>
    <n v="1269.8"/>
    <n v="4973.2"/>
  </r>
  <r>
    <x v="132"/>
    <x v="2"/>
    <x v="1"/>
    <x v="4"/>
    <n v="2"/>
    <n v="1374.18"/>
    <n v="2748.36"/>
    <n v="620.58000000000004"/>
    <n v="2127.7800000000002"/>
  </r>
  <r>
    <x v="132"/>
    <x v="3"/>
    <x v="3"/>
    <x v="9"/>
    <n v="1"/>
    <n v="1768.25"/>
    <n v="1768.25"/>
    <n v="384.65"/>
    <n v="1383.6"/>
  </r>
  <r>
    <x v="133"/>
    <x v="0"/>
    <x v="2"/>
    <x v="8"/>
    <n v="9"/>
    <n v="2382.29"/>
    <n v="21440.61"/>
    <n v="3532.92"/>
    <n v="17907.690000000002"/>
  </r>
  <r>
    <x v="133"/>
    <x v="5"/>
    <x v="3"/>
    <x v="10"/>
    <n v="10"/>
    <n v="1090.76"/>
    <n v="10907.6"/>
    <n v="1493.99"/>
    <n v="9413.61"/>
  </r>
  <r>
    <x v="133"/>
    <x v="4"/>
    <x v="0"/>
    <x v="0"/>
    <n v="3"/>
    <n v="1260"/>
    <n v="3780"/>
    <n v="822.47"/>
    <n v="2957.5299999999997"/>
  </r>
  <r>
    <x v="133"/>
    <x v="2"/>
    <x v="3"/>
    <x v="9"/>
    <n v="6"/>
    <n v="713.1"/>
    <n v="4278.6000000000004"/>
    <n v="431.19"/>
    <n v="3847.4100000000003"/>
  </r>
  <r>
    <x v="134"/>
    <x v="3"/>
    <x v="1"/>
    <x v="5"/>
    <n v="2"/>
    <n v="765.01"/>
    <n v="1530.02"/>
    <n v="196.01"/>
    <n v="1334.01"/>
  </r>
  <r>
    <x v="134"/>
    <x v="1"/>
    <x v="3"/>
    <x v="10"/>
    <n v="1"/>
    <n v="679.24"/>
    <n v="679.24"/>
    <n v="124.39"/>
    <n v="554.85"/>
  </r>
  <r>
    <x v="134"/>
    <x v="5"/>
    <x v="1"/>
    <x v="12"/>
    <n v="1"/>
    <n v="1083.69"/>
    <n v="1083.69"/>
    <n v="171.41"/>
    <n v="912.28000000000009"/>
  </r>
  <r>
    <x v="134"/>
    <x v="4"/>
    <x v="2"/>
    <x v="7"/>
    <n v="9"/>
    <n v="839.17"/>
    <n v="7552.53"/>
    <n v="1186.58"/>
    <n v="6365.95"/>
  </r>
  <r>
    <x v="135"/>
    <x v="2"/>
    <x v="1"/>
    <x v="5"/>
    <n v="8"/>
    <n v="791.87"/>
    <n v="6334.96"/>
    <n v="792.38"/>
    <n v="5542.58"/>
  </r>
  <r>
    <x v="135"/>
    <x v="4"/>
    <x v="3"/>
    <x v="9"/>
    <n v="8"/>
    <n v="2065.33"/>
    <n v="16522.64"/>
    <n v="2547.27"/>
    <n v="13975.369999999999"/>
  </r>
  <r>
    <x v="135"/>
    <x v="3"/>
    <x v="3"/>
    <x v="10"/>
    <n v="8"/>
    <n v="713.94"/>
    <n v="5711.52"/>
    <n v="832.16"/>
    <n v="4879.3600000000006"/>
  </r>
  <r>
    <x v="136"/>
    <x v="0"/>
    <x v="3"/>
    <x v="9"/>
    <n v="8"/>
    <n v="1169.47"/>
    <n v="9355.76"/>
    <n v="2079.98"/>
    <n v="7275.7800000000007"/>
  </r>
  <r>
    <x v="136"/>
    <x v="3"/>
    <x v="2"/>
    <x v="8"/>
    <n v="6"/>
    <n v="1706.42"/>
    <n v="10238.52"/>
    <n v="2091.67"/>
    <n v="8146.85"/>
  </r>
  <r>
    <x v="136"/>
    <x v="0"/>
    <x v="1"/>
    <x v="6"/>
    <n v="7"/>
    <n v="2437.4499999999998"/>
    <n v="17062.150000000001"/>
    <n v="2452.12"/>
    <n v="14610.030000000002"/>
  </r>
  <r>
    <x v="137"/>
    <x v="2"/>
    <x v="2"/>
    <x v="8"/>
    <n v="7"/>
    <n v="1060.5999999999999"/>
    <n v="7424.2"/>
    <n v="1617.58"/>
    <n v="5806.62"/>
  </r>
  <r>
    <x v="137"/>
    <x v="1"/>
    <x v="0"/>
    <x v="2"/>
    <n v="10"/>
    <n v="2494.5300000000002"/>
    <n v="24945.3"/>
    <n v="3167.78"/>
    <n v="21777.52"/>
  </r>
  <r>
    <x v="137"/>
    <x v="0"/>
    <x v="0"/>
    <x v="1"/>
    <n v="4"/>
    <n v="1376.91"/>
    <n v="5507.64"/>
    <n v="791.45"/>
    <n v="4716.1900000000005"/>
  </r>
  <r>
    <x v="137"/>
    <x v="2"/>
    <x v="0"/>
    <x v="1"/>
    <n v="8"/>
    <n v="778.36"/>
    <n v="6226.88"/>
    <n v="905.54"/>
    <n v="5321.34"/>
  </r>
  <r>
    <x v="138"/>
    <x v="1"/>
    <x v="3"/>
    <x v="9"/>
    <n v="2"/>
    <n v="1398.13"/>
    <n v="2796.26"/>
    <n v="530.41999999999996"/>
    <n v="2265.84"/>
  </r>
  <r>
    <x v="138"/>
    <x v="0"/>
    <x v="3"/>
    <x v="9"/>
    <n v="9"/>
    <n v="573.53"/>
    <n v="5161.7700000000004"/>
    <n v="1266"/>
    <n v="3895.7700000000004"/>
  </r>
  <r>
    <x v="139"/>
    <x v="0"/>
    <x v="0"/>
    <x v="3"/>
    <n v="4"/>
    <n v="1815.2"/>
    <n v="7260.8"/>
    <n v="1112.73"/>
    <n v="6148.07"/>
  </r>
  <r>
    <x v="139"/>
    <x v="5"/>
    <x v="0"/>
    <x v="1"/>
    <n v="6"/>
    <n v="2431.4299999999998"/>
    <n v="14588.58"/>
    <n v="2400.8200000000002"/>
    <n v="12187.76"/>
  </r>
  <r>
    <x v="139"/>
    <x v="1"/>
    <x v="0"/>
    <x v="0"/>
    <n v="4"/>
    <n v="1521.35"/>
    <n v="6085.4"/>
    <n v="1082.0999999999999"/>
    <n v="5003.2999999999993"/>
  </r>
  <r>
    <x v="139"/>
    <x v="1"/>
    <x v="2"/>
    <x v="8"/>
    <n v="6"/>
    <n v="1282.27"/>
    <n v="7693.62"/>
    <n v="1660.68"/>
    <n v="6032.94"/>
  </r>
  <r>
    <x v="139"/>
    <x v="5"/>
    <x v="2"/>
    <x v="8"/>
    <n v="1"/>
    <n v="1465.54"/>
    <n v="1465.54"/>
    <n v="211.5"/>
    <n v="1254.04"/>
  </r>
  <r>
    <x v="140"/>
    <x v="1"/>
    <x v="2"/>
    <x v="8"/>
    <n v="5"/>
    <n v="1186.1300000000001"/>
    <n v="5930.65"/>
    <n v="1290.75"/>
    <n v="4639.8999999999996"/>
  </r>
  <r>
    <x v="141"/>
    <x v="2"/>
    <x v="1"/>
    <x v="12"/>
    <n v="2"/>
    <n v="1376.33"/>
    <n v="2752.66"/>
    <n v="562.96"/>
    <n v="2189.6999999999998"/>
  </r>
  <r>
    <x v="141"/>
    <x v="2"/>
    <x v="0"/>
    <x v="0"/>
    <n v="1"/>
    <n v="2120.37"/>
    <n v="2120.37"/>
    <n v="248.64"/>
    <n v="1871.73"/>
  </r>
  <r>
    <x v="141"/>
    <x v="2"/>
    <x v="0"/>
    <x v="2"/>
    <n v="4"/>
    <n v="1531.99"/>
    <n v="6127.96"/>
    <n v="1120.1099999999999"/>
    <n v="5007.8500000000004"/>
  </r>
  <r>
    <x v="141"/>
    <x v="4"/>
    <x v="3"/>
    <x v="9"/>
    <n v="4"/>
    <n v="2095.5100000000002"/>
    <n v="8382.0400000000009"/>
    <n v="1630.01"/>
    <n v="6752.0300000000007"/>
  </r>
  <r>
    <x v="142"/>
    <x v="3"/>
    <x v="3"/>
    <x v="10"/>
    <n v="10"/>
    <n v="2266.19"/>
    <n v="22661.9"/>
    <n v="3794.42"/>
    <n v="18867.480000000003"/>
  </r>
  <r>
    <x v="142"/>
    <x v="5"/>
    <x v="3"/>
    <x v="10"/>
    <n v="4"/>
    <n v="911.57"/>
    <n v="3646.28"/>
    <n v="776.11"/>
    <n v="2870.17"/>
  </r>
  <r>
    <x v="142"/>
    <x v="2"/>
    <x v="0"/>
    <x v="2"/>
    <n v="6"/>
    <n v="1151.97"/>
    <n v="6911.82"/>
    <n v="1165.56"/>
    <n v="5746.26"/>
  </r>
  <r>
    <x v="142"/>
    <x v="5"/>
    <x v="3"/>
    <x v="9"/>
    <n v="10"/>
    <n v="1277.28"/>
    <n v="12772.8"/>
    <n v="2029.36"/>
    <n v="10743.439999999999"/>
  </r>
  <r>
    <x v="143"/>
    <x v="2"/>
    <x v="1"/>
    <x v="12"/>
    <n v="10"/>
    <n v="845.06"/>
    <n v="8450.6"/>
    <n v="1698.89"/>
    <n v="6751.71"/>
  </r>
  <r>
    <x v="143"/>
    <x v="4"/>
    <x v="0"/>
    <x v="2"/>
    <n v="6"/>
    <n v="735.72"/>
    <n v="4414.32"/>
    <n v="643.64"/>
    <n v="3770.68"/>
  </r>
  <r>
    <x v="143"/>
    <x v="1"/>
    <x v="1"/>
    <x v="6"/>
    <n v="9"/>
    <n v="1276.93"/>
    <n v="11492.37"/>
    <n v="2177.39"/>
    <n v="9314.9800000000014"/>
  </r>
  <r>
    <x v="144"/>
    <x v="0"/>
    <x v="3"/>
    <x v="10"/>
    <n v="8"/>
    <n v="1771"/>
    <n v="14168"/>
    <n v="2890.48"/>
    <n v="11277.52"/>
  </r>
  <r>
    <x v="144"/>
    <x v="2"/>
    <x v="2"/>
    <x v="7"/>
    <n v="3"/>
    <n v="1479.28"/>
    <n v="4437.84"/>
    <n v="537.17999999999995"/>
    <n v="3900.6600000000003"/>
  </r>
  <r>
    <x v="144"/>
    <x v="4"/>
    <x v="3"/>
    <x v="10"/>
    <n v="6"/>
    <n v="2403.6799999999998"/>
    <n v="14422.08"/>
    <n v="2490.5700000000002"/>
    <n v="11931.51"/>
  </r>
  <r>
    <x v="144"/>
    <x v="3"/>
    <x v="3"/>
    <x v="9"/>
    <n v="7"/>
    <n v="1869.39"/>
    <n v="13085.73"/>
    <n v="2124.4"/>
    <n v="10961.33"/>
  </r>
  <r>
    <x v="145"/>
    <x v="2"/>
    <x v="2"/>
    <x v="11"/>
    <n v="10"/>
    <n v="561.72"/>
    <n v="5617.2"/>
    <n v="1202.97"/>
    <n v="4414.2299999999996"/>
  </r>
  <r>
    <x v="145"/>
    <x v="3"/>
    <x v="0"/>
    <x v="0"/>
    <n v="4"/>
    <n v="1575.22"/>
    <n v="6300.88"/>
    <n v="789.07"/>
    <n v="5511.81"/>
  </r>
  <r>
    <x v="145"/>
    <x v="2"/>
    <x v="3"/>
    <x v="10"/>
    <n v="10"/>
    <n v="728.41"/>
    <n v="7284.1"/>
    <n v="1575.31"/>
    <n v="5708.7900000000009"/>
  </r>
  <r>
    <x v="145"/>
    <x v="0"/>
    <x v="0"/>
    <x v="1"/>
    <n v="9"/>
    <n v="937.08"/>
    <n v="8433.7199999999993"/>
    <n v="1381.22"/>
    <n v="7052.4999999999991"/>
  </r>
  <r>
    <x v="146"/>
    <x v="5"/>
    <x v="1"/>
    <x v="4"/>
    <n v="8"/>
    <n v="1025.6300000000001"/>
    <n v="8205.0400000000009"/>
    <n v="1881.66"/>
    <n v="6323.380000000001"/>
  </r>
  <r>
    <x v="146"/>
    <x v="0"/>
    <x v="3"/>
    <x v="10"/>
    <n v="4"/>
    <n v="919.76"/>
    <n v="3679.04"/>
    <n v="774.96"/>
    <n v="2904.08"/>
  </r>
  <r>
    <x v="147"/>
    <x v="4"/>
    <x v="3"/>
    <x v="10"/>
    <n v="10"/>
    <n v="778.47"/>
    <n v="7784.7"/>
    <n v="1019.74"/>
    <n v="6764.96"/>
  </r>
  <r>
    <x v="147"/>
    <x v="2"/>
    <x v="0"/>
    <x v="0"/>
    <n v="9"/>
    <n v="1062.17"/>
    <n v="9559.5300000000007"/>
    <n v="1728.51"/>
    <n v="7831.02"/>
  </r>
  <r>
    <x v="147"/>
    <x v="0"/>
    <x v="1"/>
    <x v="5"/>
    <n v="10"/>
    <n v="1034.69"/>
    <n v="10346.9"/>
    <n v="2366.36"/>
    <n v="7980.5399999999991"/>
  </r>
  <r>
    <x v="148"/>
    <x v="4"/>
    <x v="2"/>
    <x v="8"/>
    <n v="1"/>
    <n v="2484.9699999999998"/>
    <n v="2484.9699999999998"/>
    <n v="571.69000000000005"/>
    <n v="1913.2799999999997"/>
  </r>
  <r>
    <x v="149"/>
    <x v="0"/>
    <x v="2"/>
    <x v="11"/>
    <n v="6"/>
    <n v="2156.96"/>
    <n v="12941.76"/>
    <n v="2772.4"/>
    <n v="10169.36"/>
  </r>
  <r>
    <x v="149"/>
    <x v="3"/>
    <x v="3"/>
    <x v="9"/>
    <n v="3"/>
    <n v="1654.85"/>
    <n v="4964.55"/>
    <n v="696.56"/>
    <n v="4267.99"/>
  </r>
  <r>
    <x v="150"/>
    <x v="0"/>
    <x v="3"/>
    <x v="10"/>
    <n v="2"/>
    <n v="1305.7"/>
    <n v="2611.4"/>
    <n v="554.85"/>
    <n v="2056.5500000000002"/>
  </r>
  <r>
    <x v="150"/>
    <x v="0"/>
    <x v="1"/>
    <x v="12"/>
    <n v="8"/>
    <n v="1154.58"/>
    <n v="9236.64"/>
    <n v="927.09"/>
    <n v="8309.5499999999993"/>
  </r>
  <r>
    <x v="150"/>
    <x v="3"/>
    <x v="0"/>
    <x v="1"/>
    <n v="6"/>
    <n v="2200.21"/>
    <n v="13201.26"/>
    <n v="2895.72"/>
    <n v="10305.540000000001"/>
  </r>
  <r>
    <x v="150"/>
    <x v="2"/>
    <x v="2"/>
    <x v="8"/>
    <n v="4"/>
    <n v="1489.43"/>
    <n v="5957.72"/>
    <n v="884.3"/>
    <n v="5073.42"/>
  </r>
  <r>
    <x v="151"/>
    <x v="5"/>
    <x v="2"/>
    <x v="7"/>
    <n v="8"/>
    <n v="2076.61"/>
    <n v="16612.88"/>
    <n v="3889.46"/>
    <n v="12723.420000000002"/>
  </r>
  <r>
    <x v="151"/>
    <x v="4"/>
    <x v="0"/>
    <x v="3"/>
    <n v="8"/>
    <n v="532.55999999999995"/>
    <n v="4260.4799999999996"/>
    <n v="1020.02"/>
    <n v="3240.4599999999996"/>
  </r>
  <r>
    <x v="151"/>
    <x v="0"/>
    <x v="3"/>
    <x v="9"/>
    <n v="1"/>
    <n v="2483.6799999999998"/>
    <n v="2483.6799999999998"/>
    <n v="407.75"/>
    <n v="2075.9299999999998"/>
  </r>
  <r>
    <x v="152"/>
    <x v="5"/>
    <x v="1"/>
    <x v="6"/>
    <n v="5"/>
    <n v="686.68"/>
    <n v="3433.4"/>
    <n v="528.97"/>
    <n v="2904.4300000000003"/>
  </r>
  <r>
    <x v="152"/>
    <x v="0"/>
    <x v="1"/>
    <x v="6"/>
    <n v="1"/>
    <n v="1292.68"/>
    <n v="1292.68"/>
    <n v="188.51"/>
    <n v="1104.17"/>
  </r>
  <r>
    <x v="153"/>
    <x v="4"/>
    <x v="3"/>
    <x v="10"/>
    <n v="2"/>
    <n v="502.17"/>
    <n v="1004.34"/>
    <n v="172.27"/>
    <n v="832.07"/>
  </r>
  <r>
    <x v="153"/>
    <x v="5"/>
    <x v="2"/>
    <x v="7"/>
    <n v="8"/>
    <n v="518.57000000000005"/>
    <n v="4148.5600000000004"/>
    <n v="847.71"/>
    <n v="3300.8500000000004"/>
  </r>
  <r>
    <x v="154"/>
    <x v="5"/>
    <x v="2"/>
    <x v="8"/>
    <n v="2"/>
    <n v="957.89"/>
    <n v="1915.78"/>
    <n v="217.25"/>
    <n v="1698.53"/>
  </r>
  <r>
    <x v="154"/>
    <x v="4"/>
    <x v="0"/>
    <x v="0"/>
    <n v="6"/>
    <n v="2261.98"/>
    <n v="13571.88"/>
    <n v="1636.35"/>
    <n v="11935.529999999999"/>
  </r>
  <r>
    <x v="154"/>
    <x v="4"/>
    <x v="2"/>
    <x v="11"/>
    <n v="9"/>
    <n v="1626.58"/>
    <n v="14639.22"/>
    <n v="2804.11"/>
    <n v="11835.109999999999"/>
  </r>
  <r>
    <x v="154"/>
    <x v="3"/>
    <x v="3"/>
    <x v="9"/>
    <n v="4"/>
    <n v="1756.16"/>
    <n v="7024.64"/>
    <n v="861.97"/>
    <n v="6162.67"/>
  </r>
  <r>
    <x v="155"/>
    <x v="5"/>
    <x v="3"/>
    <x v="10"/>
    <n v="2"/>
    <n v="2293.19"/>
    <n v="4586.38"/>
    <n v="554.96"/>
    <n v="4031.42"/>
  </r>
  <r>
    <x v="155"/>
    <x v="2"/>
    <x v="3"/>
    <x v="9"/>
    <n v="7"/>
    <n v="1129.01"/>
    <n v="7903.07"/>
    <n v="956.07"/>
    <n v="6947"/>
  </r>
  <r>
    <x v="155"/>
    <x v="2"/>
    <x v="0"/>
    <x v="2"/>
    <n v="9"/>
    <n v="1702"/>
    <n v="15318"/>
    <n v="3188.85"/>
    <n v="12129.15"/>
  </r>
  <r>
    <x v="155"/>
    <x v="0"/>
    <x v="0"/>
    <x v="0"/>
    <n v="4"/>
    <n v="1535.5"/>
    <n v="6142"/>
    <n v="1083.6199999999999"/>
    <n v="5058.38"/>
  </r>
  <r>
    <x v="155"/>
    <x v="4"/>
    <x v="3"/>
    <x v="9"/>
    <n v="1"/>
    <n v="2067.6"/>
    <n v="2067.6"/>
    <n v="452.94"/>
    <n v="1614.6599999999999"/>
  </r>
  <r>
    <x v="156"/>
    <x v="1"/>
    <x v="3"/>
    <x v="10"/>
    <n v="4"/>
    <n v="1499.17"/>
    <n v="5996.68"/>
    <n v="1133.9100000000001"/>
    <n v="4862.7700000000004"/>
  </r>
  <r>
    <x v="156"/>
    <x v="1"/>
    <x v="0"/>
    <x v="0"/>
    <n v="6"/>
    <n v="763.97"/>
    <n v="4583.82"/>
    <n v="1050.25"/>
    <n v="3533.5699999999997"/>
  </r>
  <r>
    <x v="156"/>
    <x v="5"/>
    <x v="3"/>
    <x v="9"/>
    <n v="9"/>
    <n v="1865.88"/>
    <n v="16792.919999999998"/>
    <n v="3600.55"/>
    <n v="13192.369999999999"/>
  </r>
  <r>
    <x v="156"/>
    <x v="5"/>
    <x v="0"/>
    <x v="3"/>
    <n v="1"/>
    <n v="1024.3699999999999"/>
    <n v="1024.3699999999999"/>
    <n v="108.56"/>
    <n v="915.81"/>
  </r>
  <r>
    <x v="157"/>
    <x v="1"/>
    <x v="1"/>
    <x v="12"/>
    <n v="7"/>
    <n v="1903.62"/>
    <n v="13325.34"/>
    <n v="1497.29"/>
    <n v="11828.05"/>
  </r>
  <r>
    <x v="157"/>
    <x v="4"/>
    <x v="2"/>
    <x v="8"/>
    <n v="2"/>
    <n v="1119.81"/>
    <n v="2239.62"/>
    <n v="395.73"/>
    <n v="1843.8899999999999"/>
  </r>
  <r>
    <x v="157"/>
    <x v="0"/>
    <x v="2"/>
    <x v="7"/>
    <n v="6"/>
    <n v="1281.46"/>
    <n v="7688.76"/>
    <n v="1500.42"/>
    <n v="6188.34"/>
  </r>
  <r>
    <x v="157"/>
    <x v="5"/>
    <x v="0"/>
    <x v="0"/>
    <n v="7"/>
    <n v="1959.92"/>
    <n v="13719.44"/>
    <n v="3113.9"/>
    <n v="10605.54"/>
  </r>
  <r>
    <x v="158"/>
    <x v="2"/>
    <x v="0"/>
    <x v="1"/>
    <n v="2"/>
    <n v="1406.74"/>
    <n v="2813.48"/>
    <n v="538.29"/>
    <n v="2275.19"/>
  </r>
  <r>
    <x v="158"/>
    <x v="4"/>
    <x v="2"/>
    <x v="11"/>
    <n v="1"/>
    <n v="1915.8"/>
    <n v="1915.8"/>
    <n v="393.17"/>
    <n v="1522.6299999999999"/>
  </r>
  <r>
    <x v="159"/>
    <x v="2"/>
    <x v="1"/>
    <x v="5"/>
    <n v="3"/>
    <n v="1243.74"/>
    <n v="3731.22"/>
    <n v="792.76"/>
    <n v="2938.46"/>
  </r>
  <r>
    <x v="159"/>
    <x v="5"/>
    <x v="0"/>
    <x v="3"/>
    <n v="6"/>
    <n v="2114.2199999999998"/>
    <n v="12685.32"/>
    <n v="1786.06"/>
    <n v="10899.26"/>
  </r>
  <r>
    <x v="159"/>
    <x v="3"/>
    <x v="1"/>
    <x v="4"/>
    <n v="8"/>
    <n v="1410.4"/>
    <n v="11283.2"/>
    <n v="1737.82"/>
    <n v="9545.380000000001"/>
  </r>
  <r>
    <x v="159"/>
    <x v="1"/>
    <x v="2"/>
    <x v="8"/>
    <n v="3"/>
    <n v="1010.23"/>
    <n v="3030.69"/>
    <n v="349.85"/>
    <n v="2680.84"/>
  </r>
  <r>
    <x v="160"/>
    <x v="5"/>
    <x v="2"/>
    <x v="7"/>
    <n v="9"/>
    <n v="505.14"/>
    <n v="4546.26"/>
    <n v="1040.2"/>
    <n v="3506.0600000000004"/>
  </r>
  <r>
    <x v="161"/>
    <x v="5"/>
    <x v="0"/>
    <x v="1"/>
    <n v="6"/>
    <n v="1265.96"/>
    <n v="7595.76"/>
    <n v="930.58"/>
    <n v="6665.18"/>
  </r>
  <r>
    <x v="161"/>
    <x v="2"/>
    <x v="3"/>
    <x v="10"/>
    <n v="6"/>
    <n v="996.53"/>
    <n v="5979.18"/>
    <n v="1419.33"/>
    <n v="4559.8500000000004"/>
  </r>
  <r>
    <x v="162"/>
    <x v="4"/>
    <x v="0"/>
    <x v="0"/>
    <n v="2"/>
    <n v="1504.08"/>
    <n v="3008.16"/>
    <n v="707.79"/>
    <n v="2300.37"/>
  </r>
  <r>
    <x v="162"/>
    <x v="3"/>
    <x v="2"/>
    <x v="7"/>
    <n v="1"/>
    <n v="2408.16"/>
    <n v="2408.16"/>
    <n v="265.70999999999998"/>
    <n v="2142.4499999999998"/>
  </r>
  <r>
    <x v="162"/>
    <x v="2"/>
    <x v="1"/>
    <x v="5"/>
    <n v="6"/>
    <n v="672.77"/>
    <n v="4036.62"/>
    <n v="680.22"/>
    <n v="3356.3999999999996"/>
  </r>
  <r>
    <x v="163"/>
    <x v="3"/>
    <x v="1"/>
    <x v="5"/>
    <n v="10"/>
    <n v="985.17"/>
    <n v="9851.7000000000007"/>
    <n v="1529.39"/>
    <n v="8322.3100000000013"/>
  </r>
  <r>
    <x v="163"/>
    <x v="5"/>
    <x v="2"/>
    <x v="7"/>
    <n v="9"/>
    <n v="2020.96"/>
    <n v="18188.64"/>
    <n v="2487.64"/>
    <n v="15701"/>
  </r>
  <r>
    <x v="164"/>
    <x v="5"/>
    <x v="0"/>
    <x v="2"/>
    <n v="9"/>
    <n v="1192.8499999999999"/>
    <n v="10735.65"/>
    <n v="2425.5700000000002"/>
    <n v="8310.08"/>
  </r>
  <r>
    <x v="164"/>
    <x v="5"/>
    <x v="1"/>
    <x v="4"/>
    <n v="7"/>
    <n v="2198.0100000000002"/>
    <n v="15386.07"/>
    <n v="3216.95"/>
    <n v="12169.119999999999"/>
  </r>
  <r>
    <x v="164"/>
    <x v="4"/>
    <x v="2"/>
    <x v="7"/>
    <n v="4"/>
    <n v="1339.63"/>
    <n v="5358.52"/>
    <n v="1308.43"/>
    <n v="4050.09"/>
  </r>
  <r>
    <x v="164"/>
    <x v="1"/>
    <x v="1"/>
    <x v="4"/>
    <n v="1"/>
    <n v="2342.5500000000002"/>
    <n v="2342.5500000000002"/>
    <n v="549.54999999999995"/>
    <n v="1793.0000000000002"/>
  </r>
  <r>
    <x v="165"/>
    <x v="0"/>
    <x v="1"/>
    <x v="12"/>
    <n v="2"/>
    <n v="1661.54"/>
    <n v="3323.08"/>
    <n v="584.24"/>
    <n v="2738.84"/>
  </r>
  <r>
    <x v="165"/>
    <x v="4"/>
    <x v="3"/>
    <x v="10"/>
    <n v="10"/>
    <n v="1635.64"/>
    <n v="16356.4"/>
    <n v="2702.85"/>
    <n v="13653.55"/>
  </r>
  <r>
    <x v="165"/>
    <x v="3"/>
    <x v="2"/>
    <x v="8"/>
    <n v="5"/>
    <n v="2201.83"/>
    <n v="11009.15"/>
    <n v="2630.16"/>
    <n v="8378.99"/>
  </r>
  <r>
    <x v="165"/>
    <x v="4"/>
    <x v="1"/>
    <x v="5"/>
    <n v="8"/>
    <n v="1043.9100000000001"/>
    <n v="8351.2800000000007"/>
    <n v="928.69"/>
    <n v="7422.59"/>
  </r>
  <r>
    <x v="166"/>
    <x v="3"/>
    <x v="0"/>
    <x v="2"/>
    <n v="2"/>
    <n v="828.75"/>
    <n v="1657.5"/>
    <n v="281.62"/>
    <n v="1375.88"/>
  </r>
  <r>
    <x v="166"/>
    <x v="5"/>
    <x v="0"/>
    <x v="0"/>
    <n v="4"/>
    <n v="1403.83"/>
    <n v="5615.32"/>
    <n v="951.81"/>
    <n v="4663.51"/>
  </r>
  <r>
    <x v="167"/>
    <x v="5"/>
    <x v="2"/>
    <x v="7"/>
    <n v="5"/>
    <n v="2152.77"/>
    <n v="10763.85"/>
    <n v="2201.5500000000002"/>
    <n v="8562.2999999999993"/>
  </r>
  <r>
    <x v="168"/>
    <x v="3"/>
    <x v="1"/>
    <x v="6"/>
    <n v="2"/>
    <n v="1922.31"/>
    <n v="3844.62"/>
    <n v="942.93"/>
    <n v="2901.69"/>
  </r>
  <r>
    <x v="168"/>
    <x v="3"/>
    <x v="0"/>
    <x v="0"/>
    <n v="5"/>
    <n v="2140.1799999999998"/>
    <n v="10700.9"/>
    <n v="1349.17"/>
    <n v="9351.73"/>
  </r>
  <r>
    <x v="169"/>
    <x v="5"/>
    <x v="2"/>
    <x v="11"/>
    <n v="8"/>
    <n v="703.81"/>
    <n v="5630.48"/>
    <n v="1233.48"/>
    <n v="4397"/>
  </r>
  <r>
    <x v="169"/>
    <x v="2"/>
    <x v="0"/>
    <x v="3"/>
    <n v="4"/>
    <n v="761.43"/>
    <n v="3045.72"/>
    <n v="680.87"/>
    <n v="2364.85"/>
  </r>
  <r>
    <x v="169"/>
    <x v="0"/>
    <x v="0"/>
    <x v="0"/>
    <n v="2"/>
    <n v="543.6"/>
    <n v="1087.2"/>
    <n v="119.23"/>
    <n v="967.97"/>
  </r>
  <r>
    <x v="169"/>
    <x v="2"/>
    <x v="3"/>
    <x v="10"/>
    <n v="2"/>
    <n v="2310.16"/>
    <n v="4620.32"/>
    <n v="1036.82"/>
    <n v="3583.5"/>
  </r>
  <r>
    <x v="170"/>
    <x v="0"/>
    <x v="0"/>
    <x v="1"/>
    <n v="1"/>
    <n v="835.98"/>
    <n v="835.98"/>
    <n v="155.56"/>
    <n v="680.42000000000007"/>
  </r>
  <r>
    <x v="171"/>
    <x v="4"/>
    <x v="3"/>
    <x v="10"/>
    <n v="7"/>
    <n v="1866.43"/>
    <n v="13065.01"/>
    <n v="1645.16"/>
    <n v="11419.85"/>
  </r>
  <r>
    <x v="171"/>
    <x v="1"/>
    <x v="2"/>
    <x v="8"/>
    <n v="5"/>
    <n v="1392.02"/>
    <n v="6960.1"/>
    <n v="851.18"/>
    <n v="6108.92"/>
  </r>
  <r>
    <x v="171"/>
    <x v="3"/>
    <x v="2"/>
    <x v="7"/>
    <n v="5"/>
    <n v="1497.78"/>
    <n v="7488.9"/>
    <n v="1740.55"/>
    <n v="5748.3499999999995"/>
  </r>
  <r>
    <x v="171"/>
    <x v="0"/>
    <x v="0"/>
    <x v="3"/>
    <n v="5"/>
    <n v="1266.03"/>
    <n v="6330.15"/>
    <n v="1031.0899999999999"/>
    <n v="5299.0599999999995"/>
  </r>
  <r>
    <x v="172"/>
    <x v="0"/>
    <x v="2"/>
    <x v="7"/>
    <n v="9"/>
    <n v="2089.69"/>
    <n v="18807.21"/>
    <n v="4671.91"/>
    <n v="14135.3"/>
  </r>
  <r>
    <x v="172"/>
    <x v="1"/>
    <x v="1"/>
    <x v="12"/>
    <n v="9"/>
    <n v="2062.87"/>
    <n v="18565.830000000002"/>
    <n v="2814.67"/>
    <n v="15751.160000000002"/>
  </r>
  <r>
    <x v="172"/>
    <x v="4"/>
    <x v="1"/>
    <x v="12"/>
    <n v="5"/>
    <n v="859.63"/>
    <n v="4298.1499999999996"/>
    <n v="635.4"/>
    <n v="3662.74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BDC26E-8A25-4425-ADBF-609C68A40114}" name="month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9:E26"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5"/>
        <item x="2"/>
        <item x="1"/>
        <item x="3"/>
        <item x="4"/>
        <item t="default"/>
      </items>
    </pivotField>
    <pivotField showAll="0">
      <items count="5">
        <item x="3"/>
        <item x="1"/>
        <item x="0"/>
        <item x="2"/>
        <item t="default"/>
      </items>
    </pivotField>
    <pivotField showAll="0">
      <items count="14">
        <item x="9"/>
        <item x="8"/>
        <item x="4"/>
        <item x="6"/>
        <item x="10"/>
        <item x="1"/>
        <item x="12"/>
        <item x="11"/>
        <item x="3"/>
        <item x="2"/>
        <item x="7"/>
        <item x="0"/>
        <item x="5"/>
        <item t="default"/>
      </items>
    </pivotField>
    <pivotField showAll="0"/>
    <pivotField numFmtId="173" showAll="0"/>
    <pivotField dataField="1" numFmtId="173" showAll="0"/>
    <pivotField numFmtId="173" showAll="0"/>
    <pivotField numFmtId="173" showAl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7">
    <i>
      <x v="1"/>
    </i>
    <i>
      <x v="2"/>
    </i>
    <i>
      <x v="3"/>
    </i>
    <i>
      <x v="4"/>
    </i>
    <i>
      <x v="5"/>
    </i>
    <i>
      <x v="6"/>
    </i>
    <i t="grand">
      <x/>
    </i>
  </rowItems>
  <colItems count="1">
    <i/>
  </colItems>
  <dataFields count="1">
    <dataField name="Sum of Total Sales (NGN)" fld="6" baseField="0" baseItem="0" numFmtId="175"/>
  </dataFields>
  <formats count="1">
    <format dxfId="57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EC2AEC-82BA-4CDA-9921-478ED7A52983}" name="product total sale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4:B58"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5"/>
        <item x="2"/>
        <item x="1"/>
        <item x="3"/>
        <item x="4"/>
        <item t="default"/>
      </items>
    </pivotField>
    <pivotField showAll="0">
      <items count="5">
        <item x="3"/>
        <item x="1"/>
        <item x="0"/>
        <item x="2"/>
        <item t="default"/>
      </items>
    </pivotField>
    <pivotField axis="axisRow" showAll="0" sortType="descending">
      <items count="14">
        <item x="9"/>
        <item x="8"/>
        <item x="4"/>
        <item x="6"/>
        <item x="10"/>
        <item x="1"/>
        <item x="12"/>
        <item x="11"/>
        <item x="3"/>
        <item x="2"/>
        <item x="7"/>
        <item x="0"/>
        <item x="5"/>
        <item t="default"/>
      </items>
      <autoSortScope>
        <pivotArea dataOnly="0" outline="0" fieldPosition="0">
          <references count="1">
            <reference field="4294967294" count="1" selected="0">
              <x v="0"/>
            </reference>
          </references>
        </pivotArea>
      </autoSortScope>
    </pivotField>
    <pivotField showAll="0"/>
    <pivotField numFmtId="173" showAll="0"/>
    <pivotField dataField="1" numFmtId="173" showAll="0"/>
    <pivotField numFmtId="173" showAll="0"/>
    <pivotField numFmtId="173"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3"/>
  </rowFields>
  <rowItems count="14">
    <i>
      <x v="4"/>
    </i>
    <i>
      <x/>
    </i>
    <i>
      <x v="10"/>
    </i>
    <i>
      <x v="1"/>
    </i>
    <i>
      <x v="9"/>
    </i>
    <i>
      <x v="11"/>
    </i>
    <i>
      <x v="6"/>
    </i>
    <i>
      <x v="7"/>
    </i>
    <i>
      <x v="5"/>
    </i>
    <i>
      <x v="2"/>
    </i>
    <i>
      <x v="3"/>
    </i>
    <i>
      <x v="12"/>
    </i>
    <i>
      <x v="8"/>
    </i>
    <i t="grand">
      <x/>
    </i>
  </rowItems>
  <colItems count="1">
    <i/>
  </colItems>
  <dataFields count="1">
    <dataField name="Sum of Total Sales (NGN)" fld="6" baseField="0" baseItem="0" numFmtId="17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239552-5441-4C73-8847-64C1F794A6F4}" name="product category sale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6:B41"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5"/>
        <item x="2"/>
        <item x="1"/>
        <item x="3"/>
        <item x="4"/>
        <item t="default"/>
      </items>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14">
        <item x="9"/>
        <item x="8"/>
        <item x="4"/>
        <item x="6"/>
        <item x="10"/>
        <item x="1"/>
        <item x="12"/>
        <item x="11"/>
        <item x="3"/>
        <item x="2"/>
        <item x="7"/>
        <item x="0"/>
        <item x="5"/>
        <item t="default"/>
      </items>
    </pivotField>
    <pivotField showAll="0"/>
    <pivotField numFmtId="173" showAll="0"/>
    <pivotField dataField="1" numFmtId="173" showAll="0"/>
    <pivotField numFmtId="173" showAll="0"/>
    <pivotField numFmtId="173"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2"/>
  </rowFields>
  <rowItems count="5">
    <i>
      <x/>
    </i>
    <i>
      <x v="2"/>
    </i>
    <i>
      <x v="3"/>
    </i>
    <i>
      <x v="1"/>
    </i>
    <i t="grand">
      <x/>
    </i>
  </rowItems>
  <colItems count="1">
    <i/>
  </colItems>
  <dataFields count="1">
    <dataField name="Sum of Total Sales (NGN)" fld="6" baseField="0" baseItem="0" numFmtId="175"/>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6F3A2F-8B18-44D0-AD04-E81328141F12}" name="top products qty sol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B33"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5"/>
        <item x="2"/>
        <item x="1"/>
        <item x="3"/>
        <item x="4"/>
        <item t="default"/>
      </items>
    </pivotField>
    <pivotField showAll="0">
      <items count="5">
        <item x="3"/>
        <item x="1"/>
        <item x="0"/>
        <item x="2"/>
        <item t="default"/>
      </items>
    </pivotField>
    <pivotField axis="axisRow" showAll="0" sortType="descending">
      <items count="14">
        <item x="9"/>
        <item x="8"/>
        <item x="4"/>
        <item x="6"/>
        <item x="10"/>
        <item x="1"/>
        <item x="12"/>
        <item x="11"/>
        <item x="3"/>
        <item x="2"/>
        <item x="7"/>
        <item x="0"/>
        <item x="5"/>
        <item t="default"/>
      </items>
      <autoSortScope>
        <pivotArea dataOnly="0" outline="0" fieldPosition="0">
          <references count="1">
            <reference field="4294967294" count="1" selected="0">
              <x v="0"/>
            </reference>
          </references>
        </pivotArea>
      </autoSortScope>
    </pivotField>
    <pivotField dataField="1" showAll="0"/>
    <pivotField numFmtId="173" showAll="0"/>
    <pivotField numFmtId="173" showAll="0"/>
    <pivotField numFmtId="173" showAll="0"/>
    <pivotField numFmtId="173"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3"/>
  </rowFields>
  <rowItems count="14">
    <i>
      <x v="4"/>
    </i>
    <i>
      <x/>
    </i>
    <i>
      <x v="10"/>
    </i>
    <i>
      <x v="9"/>
    </i>
    <i>
      <x v="11"/>
    </i>
    <i>
      <x v="1"/>
    </i>
    <i>
      <x v="5"/>
    </i>
    <i>
      <x v="6"/>
    </i>
    <i>
      <x v="7"/>
    </i>
    <i>
      <x v="12"/>
    </i>
    <i>
      <x v="2"/>
    </i>
    <i>
      <x v="3"/>
    </i>
    <i>
      <x v="8"/>
    </i>
    <i t="grand">
      <x/>
    </i>
  </rowItems>
  <colItems count="1">
    <i/>
  </colItems>
  <dataFields count="1">
    <dataField name="Sum of Quantity Sold"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66E109-CCF7-47EF-971D-224A610610DA}" name="location sale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B16"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7">
        <item x="0"/>
        <item x="5"/>
        <item x="2"/>
        <item x="1"/>
        <item x="3"/>
        <item x="4"/>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14">
        <item x="9"/>
        <item x="8"/>
        <item x="4"/>
        <item x="6"/>
        <item x="10"/>
        <item x="1"/>
        <item x="12"/>
        <item x="11"/>
        <item x="3"/>
        <item x="2"/>
        <item x="7"/>
        <item x="0"/>
        <item x="5"/>
        <item t="default"/>
      </items>
    </pivotField>
    <pivotField showAll="0"/>
    <pivotField numFmtId="173" showAll="0"/>
    <pivotField numFmtId="173" showAll="0"/>
    <pivotField dataField="1" numFmtId="173" showAll="0"/>
    <pivotField numFmtId="173"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
  </rowFields>
  <rowItems count="7">
    <i>
      <x v="4"/>
    </i>
    <i>
      <x v="1"/>
    </i>
    <i>
      <x v="3"/>
    </i>
    <i>
      <x v="2"/>
    </i>
    <i>
      <x/>
    </i>
    <i>
      <x v="5"/>
    </i>
    <i t="grand">
      <x/>
    </i>
  </rowItems>
  <colItems count="1">
    <i/>
  </colItems>
  <dataFields count="1">
    <dataField name="Sum of Profit (NGN)" fld="7" baseField="0" baseItem="0" numFmtId="175"/>
  </dataFields>
  <formats count="2">
    <format dxfId="573">
      <pivotArea collapsedLevelsAreSubtotals="1" fieldPosition="0">
        <references count="1">
          <reference field="1" count="1">
            <x v="4"/>
          </reference>
        </references>
      </pivotArea>
    </format>
    <format dxfId="574">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E14069-6C23-418C-AD82-A5B80E2832E8}" name="percentage"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D6" firstHeaderRow="0"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5"/>
        <item x="2"/>
        <item x="1"/>
        <item x="3"/>
        <item x="4"/>
        <item t="default"/>
      </items>
    </pivotField>
    <pivotField axis="axisRow" showAll="0">
      <items count="5">
        <item x="3"/>
        <item x="1"/>
        <item x="0"/>
        <item x="2"/>
        <item t="default"/>
      </items>
    </pivotField>
    <pivotField showAll="0">
      <items count="14">
        <item x="9"/>
        <item x="8"/>
        <item x="4"/>
        <item x="6"/>
        <item x="10"/>
        <item x="1"/>
        <item x="12"/>
        <item x="11"/>
        <item x="3"/>
        <item x="2"/>
        <item x="7"/>
        <item x="0"/>
        <item x="5"/>
        <item t="default"/>
      </items>
    </pivotField>
    <pivotField showAll="0"/>
    <pivotField numFmtId="173" showAll="0"/>
    <pivotField dataField="1" numFmtId="173" showAll="0"/>
    <pivotField dataField="1" numFmtId="173" showAll="0"/>
    <pivotField numFmtId="173"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3">
    <i>
      <x/>
    </i>
    <i i="1">
      <x v="1"/>
    </i>
    <i i="2">
      <x v="2"/>
    </i>
  </colItems>
  <dataFields count="3">
    <dataField name="Sum of Total Sales (NGN)" fld="6" baseField="0" baseItem="0" numFmtId="175"/>
    <dataField name="Sum of Profit (NGN)" fld="7" baseField="0" baseItem="0" numFmtId="175"/>
    <dataField name="Overall Profit margin %" fld="9" subtotal="average" baseField="2" baseItem="0" numFmtId="173"/>
  </dataFields>
  <formats count="8">
    <format dxfId="565">
      <pivotArea dataOnly="0" labelOnly="1" outline="0" fieldPosition="0">
        <references count="1">
          <reference field="4294967294" count="1">
            <x v="2"/>
          </reference>
        </references>
      </pivotArea>
    </format>
    <format dxfId="566">
      <pivotArea collapsedLevelsAreSubtotals="1" fieldPosition="0">
        <references count="2">
          <reference field="4294967294" count="1" selected="0">
            <x v="2"/>
          </reference>
          <reference field="2" count="1">
            <x v="1"/>
          </reference>
        </references>
      </pivotArea>
    </format>
    <format dxfId="567">
      <pivotArea collapsedLevelsAreSubtotals="1" fieldPosition="0">
        <references count="2">
          <reference field="4294967294" count="1" selected="0">
            <x v="2"/>
          </reference>
          <reference field="2" count="1">
            <x v="2"/>
          </reference>
        </references>
      </pivotArea>
    </format>
    <format dxfId="568">
      <pivotArea collapsedLevelsAreSubtotals="1" fieldPosition="0">
        <references count="2">
          <reference field="4294967294" count="1" selected="0">
            <x v="2"/>
          </reference>
          <reference field="2" count="1">
            <x v="3"/>
          </reference>
        </references>
      </pivotArea>
    </format>
    <format dxfId="569">
      <pivotArea field="2" grandRow="1" outline="0" collapsedLevelsAreSubtotals="1" axis="axisRow" fieldPosition="0">
        <references count="1">
          <reference field="4294967294" count="1" selected="0">
            <x v="2"/>
          </reference>
        </references>
      </pivotArea>
    </format>
    <format dxfId="570">
      <pivotArea collapsedLevelsAreSubtotals="1" fieldPosition="0">
        <references count="2">
          <reference field="4294967294" count="1" selected="0">
            <x v="2"/>
          </reference>
          <reference field="2" count="1">
            <x v="0"/>
          </reference>
        </references>
      </pivotArea>
    </format>
    <format dxfId="571">
      <pivotArea outline="0" fieldPosition="0">
        <references count="1">
          <reference field="4294967294" count="1">
            <x v="1"/>
          </reference>
        </references>
      </pivotArea>
    </format>
    <format dxfId="57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C231156-A203-4C2F-9685-986B4B12C52A}" sourceName="Location">
  <pivotTables>
    <pivotTable tabId="3" name="months"/>
    <pivotTable tabId="3" name="percentage"/>
    <pivotTable tabId="3" name="product category sales"/>
    <pivotTable tabId="3" name="product total sales"/>
    <pivotTable tabId="3" name="top products qty sols"/>
  </pivotTables>
  <data>
    <tabular pivotCacheId="1892703600">
      <items count="6">
        <i x="0" s="1"/>
        <i x="5"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A4F2C32-1029-400B-94BB-F4DC4CBCE7FA}" sourceName="Product Category">
  <pivotTables>
    <pivotTable tabId="3" name="months"/>
    <pivotTable tabId="3" name="location sales"/>
    <pivotTable tabId="3" name="percentage"/>
    <pivotTable tabId="3" name="product total sales"/>
    <pivotTable tabId="3" name="top products qty sols"/>
  </pivotTables>
  <data>
    <tabular pivotCacheId="1892703600">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CC790C1-27A2-4639-8A6C-5C2883825B44}" sourceName="Product">
  <pivotTables>
    <pivotTable tabId="3" name="months"/>
    <pivotTable tabId="3" name="location sales"/>
    <pivotTable tabId="3" name="percentage"/>
    <pivotTable tabId="3" name="product category sales"/>
  </pivotTables>
  <data>
    <tabular pivotCacheId="1892703600">
      <items count="13">
        <i x="9" s="1"/>
        <i x="8" s="1"/>
        <i x="4" s="1"/>
        <i x="6" s="1"/>
        <i x="10" s="1"/>
        <i x="1" s="1"/>
        <i x="12" s="1"/>
        <i x="11" s="1"/>
        <i x="3" s="1"/>
        <i x="2" s="1"/>
        <i x="7"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680F308-29B9-4CFA-9240-3A46AD040D75}" sourceName="Months">
  <pivotTables>
    <pivotTable tabId="3" name="location sales"/>
    <pivotTable tabId="3" name="percentage"/>
    <pivotTable tabId="3" name="product category sales"/>
    <pivotTable tabId="3" name="product total sales"/>
    <pivotTable tabId="3" name="top products qty sols"/>
  </pivotTables>
  <data>
    <tabular pivotCacheId="1892703600">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4DF2FBB6-1B99-40CC-9F90-9CAEC5BC8D19}" cache="Slicer_Location" caption="Location" columnCount="2" style="chicken republic red" rowHeight="241300"/>
  <slicer name="Product Category" xr10:uid="{C8B70387-C83B-4646-9A1A-4119AA926C75}" cache="Slicer_Product_Category" caption="Product Category" columnCount="2" style="chicken republic red" rowHeight="241300"/>
  <slicer name="Product" xr10:uid="{C0BE3F9B-722F-4E04-AC21-A3D609CEF371}" cache="Slicer_Product" caption="Product" columnCount="2" style="chicken republic red" rowHeight="241300"/>
  <slicer name="Months" xr10:uid="{6BD02E56-FDDD-4DBA-B485-6A8043D18FDB}" cache="Slicer_Months" caption="Months" columnCount="2" style="chicken republic re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opLeftCell="E482" workbookViewId="0">
      <selection activeCell="I1" sqref="I1:I1048576"/>
    </sheetView>
  </sheetViews>
  <sheetFormatPr defaultRowHeight="14.5" x14ac:dyDescent="0.35"/>
  <cols>
    <col min="1" max="1" width="11.81640625" style="3" customWidth="1"/>
    <col min="2" max="2" width="13.90625" customWidth="1"/>
    <col min="3" max="3" width="16.6328125" customWidth="1"/>
    <col min="4" max="4" width="18.7265625" customWidth="1"/>
    <col min="5" max="5" width="14.6328125" customWidth="1"/>
    <col min="6" max="6" width="14.26953125" style="7" customWidth="1"/>
    <col min="7" max="7" width="15.26953125" style="7" customWidth="1"/>
    <col min="8" max="8" width="13.36328125" style="7" customWidth="1"/>
    <col min="9" max="9" width="10.08984375" style="7" bestFit="1" customWidth="1"/>
  </cols>
  <sheetData>
    <row r="1" spans="1:9" x14ac:dyDescent="0.35">
      <c r="A1" s="2" t="s">
        <v>0</v>
      </c>
      <c r="B1" s="1" t="s">
        <v>1</v>
      </c>
      <c r="C1" s="1" t="s">
        <v>2</v>
      </c>
      <c r="D1" s="1" t="s">
        <v>3</v>
      </c>
      <c r="E1" s="1" t="s">
        <v>4</v>
      </c>
      <c r="F1" s="6" t="s">
        <v>5</v>
      </c>
      <c r="G1" s="6" t="s">
        <v>6</v>
      </c>
      <c r="H1" s="6" t="s">
        <v>7</v>
      </c>
      <c r="I1" s="8" t="s">
        <v>31</v>
      </c>
    </row>
    <row r="2" spans="1:9" x14ac:dyDescent="0.35">
      <c r="A2" s="3">
        <v>45292</v>
      </c>
      <c r="B2" t="s">
        <v>8</v>
      </c>
      <c r="C2" t="s">
        <v>14</v>
      </c>
      <c r="D2" t="s">
        <v>18</v>
      </c>
      <c r="E2">
        <v>4</v>
      </c>
      <c r="F2" s="7">
        <v>946.42</v>
      </c>
      <c r="G2" s="7">
        <v>3785.68</v>
      </c>
      <c r="H2" s="7">
        <v>796.77</v>
      </c>
      <c r="I2" s="7">
        <f>G2-H2</f>
        <v>2988.91</v>
      </c>
    </row>
    <row r="3" spans="1:9" x14ac:dyDescent="0.35">
      <c r="A3" s="3">
        <v>45293</v>
      </c>
      <c r="B3" t="s">
        <v>9</v>
      </c>
      <c r="C3" t="s">
        <v>14</v>
      </c>
      <c r="D3" t="s">
        <v>19</v>
      </c>
      <c r="E3">
        <v>1</v>
      </c>
      <c r="F3" s="7">
        <v>559.59</v>
      </c>
      <c r="G3" s="7">
        <v>559.59</v>
      </c>
      <c r="H3" s="7">
        <v>74.31</v>
      </c>
      <c r="I3" s="7">
        <f t="shared" ref="I3:I66" si="0">G3-H3</f>
        <v>485.28000000000003</v>
      </c>
    </row>
    <row r="4" spans="1:9" x14ac:dyDescent="0.35">
      <c r="A4" s="3">
        <v>45293</v>
      </c>
      <c r="B4" t="s">
        <v>10</v>
      </c>
      <c r="C4" t="s">
        <v>14</v>
      </c>
      <c r="D4" t="s">
        <v>20</v>
      </c>
      <c r="E4">
        <v>9</v>
      </c>
      <c r="F4" s="7">
        <v>1339.04</v>
      </c>
      <c r="G4" s="7">
        <v>12051.36</v>
      </c>
      <c r="H4" s="7">
        <v>2017.17</v>
      </c>
      <c r="I4" s="7">
        <f t="shared" si="0"/>
        <v>10034.19</v>
      </c>
    </row>
    <row r="5" spans="1:9" x14ac:dyDescent="0.35">
      <c r="A5" s="3">
        <v>45293</v>
      </c>
      <c r="B5" t="s">
        <v>10</v>
      </c>
      <c r="C5" t="s">
        <v>14</v>
      </c>
      <c r="D5" t="s">
        <v>20</v>
      </c>
      <c r="E5">
        <v>7</v>
      </c>
      <c r="F5" s="7">
        <v>1180.5</v>
      </c>
      <c r="G5" s="7">
        <v>8263.5</v>
      </c>
      <c r="H5" s="7">
        <v>1019.07</v>
      </c>
      <c r="I5" s="7">
        <f t="shared" si="0"/>
        <v>7244.43</v>
      </c>
    </row>
    <row r="6" spans="1:9" x14ac:dyDescent="0.35">
      <c r="A6" s="3">
        <v>45293</v>
      </c>
      <c r="B6" t="s">
        <v>9</v>
      </c>
      <c r="C6" t="s">
        <v>14</v>
      </c>
      <c r="D6" t="s">
        <v>21</v>
      </c>
      <c r="E6">
        <v>7</v>
      </c>
      <c r="F6" s="7">
        <v>693.43</v>
      </c>
      <c r="G6" s="7">
        <v>4854.01</v>
      </c>
      <c r="H6" s="7">
        <v>1102.46</v>
      </c>
      <c r="I6" s="7">
        <f t="shared" si="0"/>
        <v>3751.55</v>
      </c>
    </row>
    <row r="7" spans="1:9" x14ac:dyDescent="0.35">
      <c r="A7" s="3">
        <v>45293</v>
      </c>
      <c r="B7" t="s">
        <v>11</v>
      </c>
      <c r="C7" t="s">
        <v>15</v>
      </c>
      <c r="D7" t="s">
        <v>22</v>
      </c>
      <c r="E7">
        <v>8</v>
      </c>
      <c r="F7" s="7">
        <v>1572.46</v>
      </c>
      <c r="G7" s="7">
        <v>12579.68</v>
      </c>
      <c r="H7" s="7">
        <v>3094.19</v>
      </c>
      <c r="I7" s="7">
        <f t="shared" si="0"/>
        <v>9485.49</v>
      </c>
    </row>
    <row r="8" spans="1:9" x14ac:dyDescent="0.35">
      <c r="A8" s="3">
        <v>45294</v>
      </c>
      <c r="B8" t="s">
        <v>8</v>
      </c>
      <c r="C8" t="s">
        <v>15</v>
      </c>
      <c r="D8" t="s">
        <v>23</v>
      </c>
      <c r="E8">
        <v>10</v>
      </c>
      <c r="F8" s="7">
        <v>884.58</v>
      </c>
      <c r="G8" s="7">
        <v>8845.7999999999993</v>
      </c>
      <c r="H8" s="7">
        <v>976.87</v>
      </c>
      <c r="I8" s="7">
        <f t="shared" si="0"/>
        <v>7868.9299999999994</v>
      </c>
    </row>
    <row r="9" spans="1:9" x14ac:dyDescent="0.35">
      <c r="A9" s="3">
        <v>45295</v>
      </c>
      <c r="B9" t="s">
        <v>11</v>
      </c>
      <c r="C9" t="s">
        <v>15</v>
      </c>
      <c r="D9" t="s">
        <v>22</v>
      </c>
      <c r="E9">
        <v>4</v>
      </c>
      <c r="F9" s="7">
        <v>2232.9699999999998</v>
      </c>
      <c r="G9" s="7">
        <v>8931.8799999999992</v>
      </c>
      <c r="H9" s="7">
        <v>1402.47</v>
      </c>
      <c r="I9" s="7">
        <f t="shared" si="0"/>
        <v>7529.4099999999989</v>
      </c>
    </row>
    <row r="10" spans="1:9" x14ac:dyDescent="0.35">
      <c r="A10" s="3">
        <v>45295</v>
      </c>
      <c r="B10" t="s">
        <v>8</v>
      </c>
      <c r="C10" t="s">
        <v>15</v>
      </c>
      <c r="D10" t="s">
        <v>24</v>
      </c>
      <c r="E10">
        <v>6</v>
      </c>
      <c r="F10" s="7">
        <v>1210.54</v>
      </c>
      <c r="G10" s="7">
        <v>7263.24</v>
      </c>
      <c r="H10" s="7">
        <v>1456.47</v>
      </c>
      <c r="I10" s="7">
        <f t="shared" si="0"/>
        <v>5806.7699999999995</v>
      </c>
    </row>
    <row r="11" spans="1:9" x14ac:dyDescent="0.35">
      <c r="A11" s="3">
        <v>45296</v>
      </c>
      <c r="B11" t="s">
        <v>8</v>
      </c>
      <c r="C11" t="s">
        <v>16</v>
      </c>
      <c r="D11" t="s">
        <v>25</v>
      </c>
      <c r="E11">
        <v>4</v>
      </c>
      <c r="F11" s="7">
        <v>826.8</v>
      </c>
      <c r="G11" s="7">
        <v>3307.2</v>
      </c>
      <c r="H11" s="7">
        <v>518.96</v>
      </c>
      <c r="I11" s="7">
        <f t="shared" si="0"/>
        <v>2788.24</v>
      </c>
    </row>
    <row r="12" spans="1:9" x14ac:dyDescent="0.35">
      <c r="A12" s="3">
        <v>45297</v>
      </c>
      <c r="B12" t="s">
        <v>12</v>
      </c>
      <c r="C12" t="s">
        <v>16</v>
      </c>
      <c r="D12" t="s">
        <v>25</v>
      </c>
      <c r="E12">
        <v>6</v>
      </c>
      <c r="F12" s="7">
        <v>2185.6999999999998</v>
      </c>
      <c r="G12" s="7">
        <v>13114.2</v>
      </c>
      <c r="H12" s="7">
        <v>2837.91</v>
      </c>
      <c r="I12" s="7">
        <f t="shared" si="0"/>
        <v>10276.290000000001</v>
      </c>
    </row>
    <row r="13" spans="1:9" x14ac:dyDescent="0.35">
      <c r="A13" s="3">
        <v>45297</v>
      </c>
      <c r="B13" t="s">
        <v>9</v>
      </c>
      <c r="C13" t="s">
        <v>14</v>
      </c>
      <c r="D13" t="s">
        <v>18</v>
      </c>
      <c r="E13">
        <v>7</v>
      </c>
      <c r="F13" s="7">
        <v>1035.48</v>
      </c>
      <c r="G13" s="7">
        <v>7248.36</v>
      </c>
      <c r="H13" s="7">
        <v>954.23</v>
      </c>
      <c r="I13" s="7">
        <f t="shared" si="0"/>
        <v>6294.1299999999992</v>
      </c>
    </row>
    <row r="14" spans="1:9" x14ac:dyDescent="0.35">
      <c r="A14" s="3">
        <v>45297</v>
      </c>
      <c r="B14" t="s">
        <v>11</v>
      </c>
      <c r="C14" t="s">
        <v>15</v>
      </c>
      <c r="D14" t="s">
        <v>24</v>
      </c>
      <c r="E14">
        <v>8</v>
      </c>
      <c r="F14" s="7">
        <v>1291.26</v>
      </c>
      <c r="G14" s="7">
        <v>10330.08</v>
      </c>
      <c r="H14" s="7">
        <v>2450.11</v>
      </c>
      <c r="I14" s="7">
        <f t="shared" si="0"/>
        <v>7879.9699999999993</v>
      </c>
    </row>
    <row r="15" spans="1:9" x14ac:dyDescent="0.35">
      <c r="A15" s="3">
        <v>45297</v>
      </c>
      <c r="B15" t="s">
        <v>10</v>
      </c>
      <c r="C15" t="s">
        <v>16</v>
      </c>
      <c r="D15" t="s">
        <v>26</v>
      </c>
      <c r="E15">
        <v>3</v>
      </c>
      <c r="F15" s="7">
        <v>993.26</v>
      </c>
      <c r="G15" s="7">
        <v>2979.78</v>
      </c>
      <c r="H15" s="7">
        <v>548.89</v>
      </c>
      <c r="I15" s="7">
        <f t="shared" si="0"/>
        <v>2430.8900000000003</v>
      </c>
    </row>
    <row r="16" spans="1:9" x14ac:dyDescent="0.35">
      <c r="A16" s="3">
        <v>45297</v>
      </c>
      <c r="B16" t="s">
        <v>9</v>
      </c>
      <c r="C16" t="s">
        <v>17</v>
      </c>
      <c r="D16" t="s">
        <v>27</v>
      </c>
      <c r="E16">
        <v>6</v>
      </c>
      <c r="F16" s="7">
        <v>938.64</v>
      </c>
      <c r="G16" s="7">
        <v>5631.84</v>
      </c>
      <c r="H16" s="7">
        <v>1405.88</v>
      </c>
      <c r="I16" s="7">
        <f t="shared" si="0"/>
        <v>4225.96</v>
      </c>
    </row>
    <row r="17" spans="1:9" x14ac:dyDescent="0.35">
      <c r="A17" s="3">
        <v>45298</v>
      </c>
      <c r="B17" t="s">
        <v>8</v>
      </c>
      <c r="C17" t="s">
        <v>14</v>
      </c>
      <c r="D17" t="s">
        <v>21</v>
      </c>
      <c r="E17">
        <v>2</v>
      </c>
      <c r="F17" s="7">
        <v>805.68</v>
      </c>
      <c r="G17" s="7">
        <v>1611.36</v>
      </c>
      <c r="H17" s="7">
        <v>199.8</v>
      </c>
      <c r="I17" s="7">
        <f t="shared" si="0"/>
        <v>1411.56</v>
      </c>
    </row>
    <row r="18" spans="1:9" x14ac:dyDescent="0.35">
      <c r="A18" s="3">
        <v>45298</v>
      </c>
      <c r="B18" t="s">
        <v>9</v>
      </c>
      <c r="C18" t="s">
        <v>17</v>
      </c>
      <c r="D18" t="s">
        <v>28</v>
      </c>
      <c r="E18">
        <v>7</v>
      </c>
      <c r="F18" s="7">
        <v>1263.24</v>
      </c>
      <c r="G18" s="7">
        <v>8842.68</v>
      </c>
      <c r="H18" s="7">
        <v>2205.5300000000002</v>
      </c>
      <c r="I18" s="7">
        <f t="shared" si="0"/>
        <v>6637.15</v>
      </c>
    </row>
    <row r="19" spans="1:9" x14ac:dyDescent="0.35">
      <c r="A19" s="3">
        <v>45298</v>
      </c>
      <c r="B19" t="s">
        <v>10</v>
      </c>
      <c r="C19" t="s">
        <v>15</v>
      </c>
      <c r="D19" t="s">
        <v>22</v>
      </c>
      <c r="E19">
        <v>2</v>
      </c>
      <c r="F19" s="7">
        <v>1863.42</v>
      </c>
      <c r="G19" s="7">
        <v>3726.84</v>
      </c>
      <c r="H19" s="7">
        <v>672.86</v>
      </c>
      <c r="I19" s="7">
        <f t="shared" si="0"/>
        <v>3053.98</v>
      </c>
    </row>
    <row r="20" spans="1:9" x14ac:dyDescent="0.35">
      <c r="A20" s="3">
        <v>45298</v>
      </c>
      <c r="B20" t="s">
        <v>8</v>
      </c>
      <c r="C20" t="s">
        <v>15</v>
      </c>
      <c r="D20" t="s">
        <v>22</v>
      </c>
      <c r="E20">
        <v>5</v>
      </c>
      <c r="F20" s="7">
        <v>1369.53</v>
      </c>
      <c r="G20" s="7">
        <v>6847.65</v>
      </c>
      <c r="H20" s="7">
        <v>1150.81</v>
      </c>
      <c r="I20" s="7">
        <f t="shared" si="0"/>
        <v>5696.84</v>
      </c>
    </row>
    <row r="21" spans="1:9" x14ac:dyDescent="0.35">
      <c r="A21" s="3">
        <v>45299</v>
      </c>
      <c r="B21" t="s">
        <v>8</v>
      </c>
      <c r="C21" t="s">
        <v>16</v>
      </c>
      <c r="D21" t="s">
        <v>25</v>
      </c>
      <c r="E21">
        <v>2</v>
      </c>
      <c r="F21" s="7">
        <v>2241.04</v>
      </c>
      <c r="G21" s="7">
        <v>4482.08</v>
      </c>
      <c r="H21" s="7">
        <v>648.86</v>
      </c>
      <c r="I21" s="7">
        <f t="shared" si="0"/>
        <v>3833.22</v>
      </c>
    </row>
    <row r="22" spans="1:9" x14ac:dyDescent="0.35">
      <c r="A22" s="3">
        <v>45299</v>
      </c>
      <c r="B22" t="s">
        <v>9</v>
      </c>
      <c r="C22" t="s">
        <v>16</v>
      </c>
      <c r="D22" t="s">
        <v>29</v>
      </c>
      <c r="E22">
        <v>6</v>
      </c>
      <c r="F22" s="7">
        <v>2025.02</v>
      </c>
      <c r="G22" s="7">
        <v>12150.12</v>
      </c>
      <c r="H22" s="7">
        <v>2198.04</v>
      </c>
      <c r="I22" s="7">
        <f t="shared" si="0"/>
        <v>9952.0800000000017</v>
      </c>
    </row>
    <row r="23" spans="1:9" x14ac:dyDescent="0.35">
      <c r="A23" s="3">
        <v>45299</v>
      </c>
      <c r="B23" t="s">
        <v>10</v>
      </c>
      <c r="C23" t="s">
        <v>14</v>
      </c>
      <c r="D23" t="s">
        <v>18</v>
      </c>
      <c r="E23">
        <v>8</v>
      </c>
      <c r="F23" s="7">
        <v>538.95000000000005</v>
      </c>
      <c r="G23" s="7">
        <v>4311.6000000000004</v>
      </c>
      <c r="H23" s="7">
        <v>1032.05</v>
      </c>
      <c r="I23" s="7">
        <f t="shared" si="0"/>
        <v>3279.55</v>
      </c>
    </row>
    <row r="24" spans="1:9" x14ac:dyDescent="0.35">
      <c r="A24" s="3">
        <v>45300</v>
      </c>
      <c r="B24" t="s">
        <v>11</v>
      </c>
      <c r="C24" t="s">
        <v>14</v>
      </c>
      <c r="D24" t="s">
        <v>20</v>
      </c>
      <c r="E24">
        <v>10</v>
      </c>
      <c r="F24" s="7">
        <v>2393.9</v>
      </c>
      <c r="G24" s="7">
        <v>23939</v>
      </c>
      <c r="H24" s="7">
        <v>2701.47</v>
      </c>
      <c r="I24" s="7">
        <f t="shared" si="0"/>
        <v>21237.53</v>
      </c>
    </row>
    <row r="25" spans="1:9" x14ac:dyDescent="0.35">
      <c r="A25" s="3">
        <v>45300</v>
      </c>
      <c r="B25" t="s">
        <v>12</v>
      </c>
      <c r="C25" t="s">
        <v>14</v>
      </c>
      <c r="D25" t="s">
        <v>20</v>
      </c>
      <c r="E25">
        <v>3</v>
      </c>
      <c r="F25" s="7">
        <v>1819.5</v>
      </c>
      <c r="G25" s="7">
        <v>5458.5</v>
      </c>
      <c r="H25" s="7">
        <v>1321.11</v>
      </c>
      <c r="I25" s="7">
        <f t="shared" si="0"/>
        <v>4137.3900000000003</v>
      </c>
    </row>
    <row r="26" spans="1:9" x14ac:dyDescent="0.35">
      <c r="A26" s="3">
        <v>45301</v>
      </c>
      <c r="B26" t="s">
        <v>8</v>
      </c>
      <c r="C26" t="s">
        <v>17</v>
      </c>
      <c r="D26" t="s">
        <v>28</v>
      </c>
      <c r="E26">
        <v>9</v>
      </c>
      <c r="F26" s="7">
        <v>2010.53</v>
      </c>
      <c r="G26" s="7">
        <v>18094.77</v>
      </c>
      <c r="H26" s="7">
        <v>3681.93</v>
      </c>
      <c r="I26" s="7">
        <f t="shared" si="0"/>
        <v>14412.84</v>
      </c>
    </row>
    <row r="27" spans="1:9" x14ac:dyDescent="0.35">
      <c r="A27" s="3">
        <v>45301</v>
      </c>
      <c r="B27" t="s">
        <v>13</v>
      </c>
      <c r="C27" t="s">
        <v>15</v>
      </c>
      <c r="D27" t="s">
        <v>30</v>
      </c>
      <c r="E27">
        <v>6</v>
      </c>
      <c r="F27" s="7">
        <v>1376.2</v>
      </c>
      <c r="G27" s="7">
        <v>8257.2000000000007</v>
      </c>
      <c r="H27" s="7">
        <v>1466.78</v>
      </c>
      <c r="I27" s="7">
        <f t="shared" si="0"/>
        <v>6790.420000000001</v>
      </c>
    </row>
    <row r="28" spans="1:9" x14ac:dyDescent="0.35">
      <c r="A28" s="3">
        <v>45301</v>
      </c>
      <c r="B28" t="s">
        <v>12</v>
      </c>
      <c r="C28" t="s">
        <v>16</v>
      </c>
      <c r="D28" t="s">
        <v>29</v>
      </c>
      <c r="E28">
        <v>2</v>
      </c>
      <c r="F28" s="7">
        <v>1176.17</v>
      </c>
      <c r="G28" s="7">
        <v>2352.34</v>
      </c>
      <c r="H28" s="7">
        <v>442.82</v>
      </c>
      <c r="I28" s="7">
        <f t="shared" si="0"/>
        <v>1909.5200000000002</v>
      </c>
    </row>
    <row r="29" spans="1:9" x14ac:dyDescent="0.35">
      <c r="A29" s="3">
        <v>45302</v>
      </c>
      <c r="B29" t="s">
        <v>13</v>
      </c>
      <c r="C29" t="s">
        <v>16</v>
      </c>
      <c r="D29" t="s">
        <v>29</v>
      </c>
      <c r="E29">
        <v>2</v>
      </c>
      <c r="F29" s="7">
        <v>1915.68</v>
      </c>
      <c r="G29" s="7">
        <v>3831.36</v>
      </c>
      <c r="H29" s="7">
        <v>416.97</v>
      </c>
      <c r="I29" s="7">
        <f t="shared" si="0"/>
        <v>3414.3900000000003</v>
      </c>
    </row>
    <row r="30" spans="1:9" x14ac:dyDescent="0.35">
      <c r="A30" s="3">
        <v>45302</v>
      </c>
      <c r="B30" t="s">
        <v>11</v>
      </c>
      <c r="C30" t="s">
        <v>14</v>
      </c>
      <c r="D30" t="s">
        <v>18</v>
      </c>
      <c r="E30">
        <v>2</v>
      </c>
      <c r="F30" s="7">
        <v>1528.31</v>
      </c>
      <c r="G30" s="7">
        <v>3056.62</v>
      </c>
      <c r="H30" s="7">
        <v>433.34</v>
      </c>
      <c r="I30" s="7">
        <f t="shared" si="0"/>
        <v>2623.2799999999997</v>
      </c>
    </row>
    <row r="31" spans="1:9" x14ac:dyDescent="0.35">
      <c r="A31" s="3">
        <v>45302</v>
      </c>
      <c r="B31" t="s">
        <v>9</v>
      </c>
      <c r="C31" t="s">
        <v>16</v>
      </c>
      <c r="D31" t="s">
        <v>25</v>
      </c>
      <c r="E31">
        <v>3</v>
      </c>
      <c r="F31" s="7">
        <v>1946.71</v>
      </c>
      <c r="G31" s="7">
        <v>5840.13</v>
      </c>
      <c r="H31" s="7">
        <v>1357</v>
      </c>
      <c r="I31" s="7">
        <f t="shared" si="0"/>
        <v>4483.13</v>
      </c>
    </row>
    <row r="32" spans="1:9" x14ac:dyDescent="0.35">
      <c r="A32" s="3">
        <v>45302</v>
      </c>
      <c r="B32" t="s">
        <v>13</v>
      </c>
      <c r="C32" t="s">
        <v>17</v>
      </c>
      <c r="D32" t="s">
        <v>28</v>
      </c>
      <c r="E32">
        <v>8</v>
      </c>
      <c r="F32" s="7">
        <v>2114.9899999999998</v>
      </c>
      <c r="G32" s="7">
        <v>16919.919999999998</v>
      </c>
      <c r="H32" s="7">
        <v>2175.25</v>
      </c>
      <c r="I32" s="7">
        <f t="shared" si="0"/>
        <v>14744.669999999998</v>
      </c>
    </row>
    <row r="33" spans="1:9" x14ac:dyDescent="0.35">
      <c r="A33" s="3">
        <v>45302</v>
      </c>
      <c r="B33" t="s">
        <v>13</v>
      </c>
      <c r="C33" t="s">
        <v>17</v>
      </c>
      <c r="D33" t="s">
        <v>27</v>
      </c>
      <c r="E33">
        <v>7</v>
      </c>
      <c r="F33" s="7">
        <v>1322.2</v>
      </c>
      <c r="G33" s="7">
        <v>9255.4</v>
      </c>
      <c r="H33" s="7">
        <v>2124.81</v>
      </c>
      <c r="I33" s="7">
        <f t="shared" si="0"/>
        <v>7130.59</v>
      </c>
    </row>
    <row r="34" spans="1:9" x14ac:dyDescent="0.35">
      <c r="A34" s="3">
        <v>45303</v>
      </c>
      <c r="B34" t="s">
        <v>12</v>
      </c>
      <c r="C34" t="s">
        <v>14</v>
      </c>
      <c r="D34" t="s">
        <v>19</v>
      </c>
      <c r="E34">
        <v>6</v>
      </c>
      <c r="F34" s="7">
        <v>2101.19</v>
      </c>
      <c r="G34" s="7">
        <v>12607.14</v>
      </c>
      <c r="H34" s="7">
        <v>1467.35</v>
      </c>
      <c r="I34" s="7">
        <f t="shared" si="0"/>
        <v>11139.789999999999</v>
      </c>
    </row>
    <row r="35" spans="1:9" x14ac:dyDescent="0.35">
      <c r="A35" s="3">
        <v>45304</v>
      </c>
      <c r="B35" t="s">
        <v>13</v>
      </c>
      <c r="C35" t="s">
        <v>17</v>
      </c>
      <c r="D35" t="s">
        <v>28</v>
      </c>
      <c r="E35">
        <v>7</v>
      </c>
      <c r="F35" s="7">
        <v>866.98</v>
      </c>
      <c r="G35" s="7">
        <v>6068.86</v>
      </c>
      <c r="H35" s="7">
        <v>1028.03</v>
      </c>
      <c r="I35" s="7">
        <f t="shared" si="0"/>
        <v>5040.83</v>
      </c>
    </row>
    <row r="36" spans="1:9" x14ac:dyDescent="0.35">
      <c r="A36" s="3">
        <v>45304</v>
      </c>
      <c r="B36" t="s">
        <v>13</v>
      </c>
      <c r="C36" t="s">
        <v>17</v>
      </c>
      <c r="D36" t="s">
        <v>28</v>
      </c>
      <c r="E36">
        <v>1</v>
      </c>
      <c r="F36" s="7">
        <v>1804.29</v>
      </c>
      <c r="G36" s="7">
        <v>1804.29</v>
      </c>
      <c r="H36" s="7">
        <v>326.74</v>
      </c>
      <c r="I36" s="7">
        <f t="shared" si="0"/>
        <v>1477.55</v>
      </c>
    </row>
    <row r="37" spans="1:9" x14ac:dyDescent="0.35">
      <c r="A37" s="3">
        <v>45305</v>
      </c>
      <c r="B37" t="s">
        <v>11</v>
      </c>
      <c r="C37" t="s">
        <v>16</v>
      </c>
      <c r="D37" t="s">
        <v>29</v>
      </c>
      <c r="E37">
        <v>7</v>
      </c>
      <c r="F37" s="7">
        <v>1471.28</v>
      </c>
      <c r="G37" s="7">
        <v>10298.959999999999</v>
      </c>
      <c r="H37" s="7">
        <v>1360.1</v>
      </c>
      <c r="I37" s="7">
        <f t="shared" si="0"/>
        <v>8938.8599999999988</v>
      </c>
    </row>
    <row r="38" spans="1:9" x14ac:dyDescent="0.35">
      <c r="A38" s="3">
        <v>45306</v>
      </c>
      <c r="B38" t="s">
        <v>11</v>
      </c>
      <c r="C38" t="s">
        <v>16</v>
      </c>
      <c r="D38" t="s">
        <v>26</v>
      </c>
      <c r="E38">
        <v>1</v>
      </c>
      <c r="F38" s="7">
        <v>2470.62</v>
      </c>
      <c r="G38" s="7">
        <v>2470.62</v>
      </c>
      <c r="H38" s="7">
        <v>345.34</v>
      </c>
      <c r="I38" s="7">
        <f t="shared" si="0"/>
        <v>2125.2799999999997</v>
      </c>
    </row>
    <row r="39" spans="1:9" x14ac:dyDescent="0.35">
      <c r="A39" s="3">
        <v>45307</v>
      </c>
      <c r="B39" t="s">
        <v>13</v>
      </c>
      <c r="C39" t="s">
        <v>17</v>
      </c>
      <c r="D39" t="s">
        <v>27</v>
      </c>
      <c r="E39">
        <v>3</v>
      </c>
      <c r="F39" s="7">
        <v>879.8</v>
      </c>
      <c r="G39" s="7">
        <v>2639.4</v>
      </c>
      <c r="H39" s="7">
        <v>350.13</v>
      </c>
      <c r="I39" s="7">
        <f t="shared" si="0"/>
        <v>2289.27</v>
      </c>
    </row>
    <row r="40" spans="1:9" x14ac:dyDescent="0.35">
      <c r="A40" s="3">
        <v>45307</v>
      </c>
      <c r="B40" t="s">
        <v>9</v>
      </c>
      <c r="C40" t="s">
        <v>14</v>
      </c>
      <c r="D40" t="s">
        <v>18</v>
      </c>
      <c r="E40">
        <v>1</v>
      </c>
      <c r="F40" s="7">
        <v>600.28</v>
      </c>
      <c r="G40" s="7">
        <v>600.28</v>
      </c>
      <c r="H40" s="7">
        <v>102.96</v>
      </c>
      <c r="I40" s="7">
        <f t="shared" si="0"/>
        <v>497.32</v>
      </c>
    </row>
    <row r="41" spans="1:9" x14ac:dyDescent="0.35">
      <c r="A41" s="3">
        <v>45307</v>
      </c>
      <c r="B41" t="s">
        <v>9</v>
      </c>
      <c r="C41" t="s">
        <v>16</v>
      </c>
      <c r="D41" t="s">
        <v>29</v>
      </c>
      <c r="E41">
        <v>9</v>
      </c>
      <c r="F41" s="7">
        <v>660.22</v>
      </c>
      <c r="G41" s="7">
        <v>5941.98</v>
      </c>
      <c r="H41" s="7">
        <v>759.82</v>
      </c>
      <c r="I41" s="7">
        <f t="shared" si="0"/>
        <v>5182.16</v>
      </c>
    </row>
    <row r="42" spans="1:9" x14ac:dyDescent="0.35">
      <c r="A42" s="3">
        <v>45308</v>
      </c>
      <c r="B42" t="s">
        <v>9</v>
      </c>
      <c r="C42" t="s">
        <v>16</v>
      </c>
      <c r="D42" t="s">
        <v>26</v>
      </c>
      <c r="E42">
        <v>2</v>
      </c>
      <c r="F42" s="7">
        <v>2383.19</v>
      </c>
      <c r="G42" s="7">
        <v>4766.38</v>
      </c>
      <c r="H42" s="7">
        <v>883.93</v>
      </c>
      <c r="I42" s="7">
        <f t="shared" si="0"/>
        <v>3882.4500000000003</v>
      </c>
    </row>
    <row r="43" spans="1:9" x14ac:dyDescent="0.35">
      <c r="A43" s="3">
        <v>45309</v>
      </c>
      <c r="B43" t="s">
        <v>10</v>
      </c>
      <c r="C43" t="s">
        <v>14</v>
      </c>
      <c r="D43" t="s">
        <v>21</v>
      </c>
      <c r="E43">
        <v>7</v>
      </c>
      <c r="F43" s="7">
        <v>1814.75</v>
      </c>
      <c r="G43" s="7">
        <v>12703.25</v>
      </c>
      <c r="H43" s="7">
        <v>2347.36</v>
      </c>
      <c r="I43" s="7">
        <f t="shared" si="0"/>
        <v>10355.89</v>
      </c>
    </row>
    <row r="44" spans="1:9" x14ac:dyDescent="0.35">
      <c r="A44" s="3">
        <v>45309</v>
      </c>
      <c r="B44" t="s">
        <v>8</v>
      </c>
      <c r="C44" t="s">
        <v>15</v>
      </c>
      <c r="D44" t="s">
        <v>24</v>
      </c>
      <c r="E44">
        <v>6</v>
      </c>
      <c r="F44" s="7">
        <v>977.37</v>
      </c>
      <c r="G44" s="7">
        <v>5864.22</v>
      </c>
      <c r="H44" s="7">
        <v>934.57</v>
      </c>
      <c r="I44" s="7">
        <f t="shared" si="0"/>
        <v>4929.6500000000005</v>
      </c>
    </row>
    <row r="45" spans="1:9" x14ac:dyDescent="0.35">
      <c r="A45" s="3">
        <v>45309</v>
      </c>
      <c r="B45" t="s">
        <v>13</v>
      </c>
      <c r="C45" t="s">
        <v>15</v>
      </c>
      <c r="D45" t="s">
        <v>30</v>
      </c>
      <c r="E45">
        <v>6</v>
      </c>
      <c r="F45" s="7">
        <v>2358.04</v>
      </c>
      <c r="G45" s="7">
        <v>14148.24</v>
      </c>
      <c r="H45" s="7">
        <v>3400.67</v>
      </c>
      <c r="I45" s="7">
        <f t="shared" si="0"/>
        <v>10747.57</v>
      </c>
    </row>
    <row r="46" spans="1:9" x14ac:dyDescent="0.35">
      <c r="A46" s="3">
        <v>45309</v>
      </c>
      <c r="B46" t="s">
        <v>12</v>
      </c>
      <c r="C46" t="s">
        <v>17</v>
      </c>
      <c r="D46" t="s">
        <v>28</v>
      </c>
      <c r="E46">
        <v>2</v>
      </c>
      <c r="F46" s="7">
        <v>1575.27</v>
      </c>
      <c r="G46" s="7">
        <v>3150.54</v>
      </c>
      <c r="H46" s="7">
        <v>554.13</v>
      </c>
      <c r="I46" s="7">
        <f t="shared" si="0"/>
        <v>2596.41</v>
      </c>
    </row>
    <row r="47" spans="1:9" x14ac:dyDescent="0.35">
      <c r="A47" s="3">
        <v>45309</v>
      </c>
      <c r="B47" t="s">
        <v>9</v>
      </c>
      <c r="C47" t="s">
        <v>15</v>
      </c>
      <c r="D47" t="s">
        <v>22</v>
      </c>
      <c r="E47">
        <v>4</v>
      </c>
      <c r="F47" s="7">
        <v>1239.05</v>
      </c>
      <c r="G47" s="7">
        <v>4956.2</v>
      </c>
      <c r="H47" s="7">
        <v>612.89</v>
      </c>
      <c r="I47" s="7">
        <f t="shared" si="0"/>
        <v>4343.3099999999995</v>
      </c>
    </row>
    <row r="48" spans="1:9" x14ac:dyDescent="0.35">
      <c r="A48" s="3">
        <v>45310</v>
      </c>
      <c r="B48" t="s">
        <v>13</v>
      </c>
      <c r="C48" t="s">
        <v>14</v>
      </c>
      <c r="D48" t="s">
        <v>18</v>
      </c>
      <c r="E48">
        <v>2</v>
      </c>
      <c r="F48" s="7">
        <v>2377.86</v>
      </c>
      <c r="G48" s="7">
        <v>4755.72</v>
      </c>
      <c r="H48" s="7">
        <v>571.37</v>
      </c>
      <c r="I48" s="7">
        <f t="shared" si="0"/>
        <v>4184.3500000000004</v>
      </c>
    </row>
    <row r="49" spans="1:9" x14ac:dyDescent="0.35">
      <c r="A49" s="3">
        <v>45310</v>
      </c>
      <c r="B49" t="s">
        <v>10</v>
      </c>
      <c r="C49" t="s">
        <v>14</v>
      </c>
      <c r="D49" t="s">
        <v>20</v>
      </c>
      <c r="E49">
        <v>5</v>
      </c>
      <c r="F49" s="7">
        <v>1063.51</v>
      </c>
      <c r="G49" s="7">
        <v>5317.55</v>
      </c>
      <c r="H49" s="7">
        <v>699.76</v>
      </c>
      <c r="I49" s="7">
        <f t="shared" si="0"/>
        <v>4617.79</v>
      </c>
    </row>
    <row r="50" spans="1:9" x14ac:dyDescent="0.35">
      <c r="A50" s="3">
        <v>45310</v>
      </c>
      <c r="B50" t="s">
        <v>13</v>
      </c>
      <c r="C50" t="s">
        <v>16</v>
      </c>
      <c r="D50" t="s">
        <v>25</v>
      </c>
      <c r="E50">
        <v>5</v>
      </c>
      <c r="F50" s="7">
        <v>1510.82</v>
      </c>
      <c r="G50" s="7">
        <v>7554.1</v>
      </c>
      <c r="H50" s="7">
        <v>1039.96</v>
      </c>
      <c r="I50" s="7">
        <f t="shared" si="0"/>
        <v>6514.14</v>
      </c>
    </row>
    <row r="51" spans="1:9" x14ac:dyDescent="0.35">
      <c r="A51" s="3">
        <v>45311</v>
      </c>
      <c r="B51" t="s">
        <v>8</v>
      </c>
      <c r="C51" t="s">
        <v>17</v>
      </c>
      <c r="D51" t="s">
        <v>27</v>
      </c>
      <c r="E51">
        <v>1</v>
      </c>
      <c r="F51" s="7">
        <v>507.09</v>
      </c>
      <c r="G51" s="7">
        <v>507.09</v>
      </c>
      <c r="H51" s="7">
        <v>109.36</v>
      </c>
      <c r="I51" s="7">
        <f t="shared" si="0"/>
        <v>397.72999999999996</v>
      </c>
    </row>
    <row r="52" spans="1:9" x14ac:dyDescent="0.35">
      <c r="A52" s="3">
        <v>45312</v>
      </c>
      <c r="B52" t="s">
        <v>13</v>
      </c>
      <c r="C52" t="s">
        <v>16</v>
      </c>
      <c r="D52" t="s">
        <v>25</v>
      </c>
      <c r="E52">
        <v>8</v>
      </c>
      <c r="F52" s="7">
        <v>1603.36</v>
      </c>
      <c r="G52" s="7">
        <v>12826.88</v>
      </c>
      <c r="H52" s="7">
        <v>2105.5700000000002</v>
      </c>
      <c r="I52" s="7">
        <f t="shared" si="0"/>
        <v>10721.31</v>
      </c>
    </row>
    <row r="53" spans="1:9" x14ac:dyDescent="0.35">
      <c r="A53" s="3">
        <v>45312</v>
      </c>
      <c r="B53" t="s">
        <v>9</v>
      </c>
      <c r="C53" t="s">
        <v>14</v>
      </c>
      <c r="D53" t="s">
        <v>21</v>
      </c>
      <c r="E53">
        <v>3</v>
      </c>
      <c r="F53" s="7">
        <v>1591.18</v>
      </c>
      <c r="G53" s="7">
        <v>4773.54</v>
      </c>
      <c r="H53" s="7">
        <v>1074.95</v>
      </c>
      <c r="I53" s="7">
        <f t="shared" si="0"/>
        <v>3698.59</v>
      </c>
    </row>
    <row r="54" spans="1:9" x14ac:dyDescent="0.35">
      <c r="A54" s="3">
        <v>45312</v>
      </c>
      <c r="B54" t="s">
        <v>13</v>
      </c>
      <c r="C54" t="s">
        <v>16</v>
      </c>
      <c r="D54" t="s">
        <v>26</v>
      </c>
      <c r="E54">
        <v>3</v>
      </c>
      <c r="F54" s="7">
        <v>583.66</v>
      </c>
      <c r="G54" s="7">
        <v>1750.98</v>
      </c>
      <c r="H54" s="7">
        <v>270.87</v>
      </c>
      <c r="I54" s="7">
        <f t="shared" si="0"/>
        <v>1480.1100000000001</v>
      </c>
    </row>
    <row r="55" spans="1:9" x14ac:dyDescent="0.35">
      <c r="A55" s="3">
        <v>45313</v>
      </c>
      <c r="B55" t="s">
        <v>9</v>
      </c>
      <c r="C55" t="s">
        <v>16</v>
      </c>
      <c r="D55" t="s">
        <v>25</v>
      </c>
      <c r="E55">
        <v>4</v>
      </c>
      <c r="F55" s="7">
        <v>1833.87</v>
      </c>
      <c r="G55" s="7">
        <v>7335.48</v>
      </c>
      <c r="H55" s="7">
        <v>1122.71</v>
      </c>
      <c r="I55" s="7">
        <f t="shared" si="0"/>
        <v>6212.7699999999995</v>
      </c>
    </row>
    <row r="56" spans="1:9" x14ac:dyDescent="0.35">
      <c r="A56" s="3">
        <v>45313</v>
      </c>
      <c r="B56" t="s">
        <v>12</v>
      </c>
      <c r="C56" t="s">
        <v>17</v>
      </c>
      <c r="D56" t="s">
        <v>28</v>
      </c>
      <c r="E56">
        <v>4</v>
      </c>
      <c r="F56" s="7">
        <v>2229.21</v>
      </c>
      <c r="G56" s="7">
        <v>8916.84</v>
      </c>
      <c r="H56" s="7">
        <v>2197.38</v>
      </c>
      <c r="I56" s="7">
        <f t="shared" si="0"/>
        <v>6719.46</v>
      </c>
    </row>
    <row r="57" spans="1:9" x14ac:dyDescent="0.35">
      <c r="A57" s="3">
        <v>45313</v>
      </c>
      <c r="B57" t="s">
        <v>11</v>
      </c>
      <c r="C57" t="s">
        <v>17</v>
      </c>
      <c r="D57" t="s">
        <v>28</v>
      </c>
      <c r="E57">
        <v>3</v>
      </c>
      <c r="F57" s="7">
        <v>1973.13</v>
      </c>
      <c r="G57" s="7">
        <v>5919.39</v>
      </c>
      <c r="H57" s="7">
        <v>886.89</v>
      </c>
      <c r="I57" s="7">
        <f t="shared" si="0"/>
        <v>5032.5</v>
      </c>
    </row>
    <row r="58" spans="1:9" x14ac:dyDescent="0.35">
      <c r="A58" s="3">
        <v>45314</v>
      </c>
      <c r="B58" t="s">
        <v>11</v>
      </c>
      <c r="C58" t="s">
        <v>15</v>
      </c>
      <c r="D58" t="s">
        <v>24</v>
      </c>
      <c r="E58">
        <v>2</v>
      </c>
      <c r="F58" s="7">
        <v>1265.08</v>
      </c>
      <c r="G58" s="7">
        <v>2530.16</v>
      </c>
      <c r="H58" s="7">
        <v>267.70999999999998</v>
      </c>
      <c r="I58" s="7">
        <f t="shared" si="0"/>
        <v>2262.4499999999998</v>
      </c>
    </row>
    <row r="59" spans="1:9" x14ac:dyDescent="0.35">
      <c r="A59" s="3">
        <v>45314</v>
      </c>
      <c r="B59" t="s">
        <v>12</v>
      </c>
      <c r="C59" t="s">
        <v>16</v>
      </c>
      <c r="D59" t="s">
        <v>29</v>
      </c>
      <c r="E59">
        <v>8</v>
      </c>
      <c r="F59" s="7">
        <v>1199.32</v>
      </c>
      <c r="G59" s="7">
        <v>9594.56</v>
      </c>
      <c r="H59" s="7">
        <v>2140.36</v>
      </c>
      <c r="I59" s="7">
        <f t="shared" si="0"/>
        <v>7454.1999999999989</v>
      </c>
    </row>
    <row r="60" spans="1:9" x14ac:dyDescent="0.35">
      <c r="A60" s="3">
        <v>45315</v>
      </c>
      <c r="B60" t="s">
        <v>10</v>
      </c>
      <c r="C60" t="s">
        <v>14</v>
      </c>
      <c r="D60" t="s">
        <v>20</v>
      </c>
      <c r="E60">
        <v>7</v>
      </c>
      <c r="F60" s="7">
        <v>1156.52</v>
      </c>
      <c r="G60" s="7">
        <v>8095.64</v>
      </c>
      <c r="H60" s="7">
        <v>1859.19</v>
      </c>
      <c r="I60" s="7">
        <f t="shared" si="0"/>
        <v>6236.4500000000007</v>
      </c>
    </row>
    <row r="61" spans="1:9" x14ac:dyDescent="0.35">
      <c r="A61" s="3">
        <v>45315</v>
      </c>
      <c r="B61" t="s">
        <v>10</v>
      </c>
      <c r="C61" t="s">
        <v>15</v>
      </c>
      <c r="D61" t="s">
        <v>30</v>
      </c>
      <c r="E61">
        <v>9</v>
      </c>
      <c r="F61" s="7">
        <v>1162.3</v>
      </c>
      <c r="G61" s="7">
        <v>10460.700000000001</v>
      </c>
      <c r="H61" s="7">
        <v>1089.3800000000001</v>
      </c>
      <c r="I61" s="7">
        <f t="shared" si="0"/>
        <v>9371.32</v>
      </c>
    </row>
    <row r="62" spans="1:9" x14ac:dyDescent="0.35">
      <c r="A62" s="3">
        <v>45316</v>
      </c>
      <c r="B62" t="s">
        <v>10</v>
      </c>
      <c r="C62" t="s">
        <v>15</v>
      </c>
      <c r="D62" t="s">
        <v>22</v>
      </c>
      <c r="E62">
        <v>2</v>
      </c>
      <c r="F62" s="7">
        <v>1693.14</v>
      </c>
      <c r="G62" s="7">
        <v>3386.28</v>
      </c>
      <c r="H62" s="7">
        <v>514.22</v>
      </c>
      <c r="I62" s="7">
        <f t="shared" si="0"/>
        <v>2872.0600000000004</v>
      </c>
    </row>
    <row r="63" spans="1:9" x14ac:dyDescent="0.35">
      <c r="A63" s="3">
        <v>45316</v>
      </c>
      <c r="B63" t="s">
        <v>13</v>
      </c>
      <c r="C63" t="s">
        <v>17</v>
      </c>
      <c r="D63" t="s">
        <v>28</v>
      </c>
      <c r="E63">
        <v>7</v>
      </c>
      <c r="F63" s="7">
        <v>2299.0100000000002</v>
      </c>
      <c r="G63" s="7">
        <v>16093.07</v>
      </c>
      <c r="H63" s="7">
        <v>2068.15</v>
      </c>
      <c r="I63" s="7">
        <f t="shared" si="0"/>
        <v>14024.92</v>
      </c>
    </row>
    <row r="64" spans="1:9" x14ac:dyDescent="0.35">
      <c r="A64" s="3">
        <v>45317</v>
      </c>
      <c r="B64" t="s">
        <v>10</v>
      </c>
      <c r="C64" t="s">
        <v>14</v>
      </c>
      <c r="D64" t="s">
        <v>20</v>
      </c>
      <c r="E64">
        <v>6</v>
      </c>
      <c r="F64" s="7">
        <v>1362.59</v>
      </c>
      <c r="G64" s="7">
        <v>8175.54</v>
      </c>
      <c r="H64" s="7">
        <v>1981.19</v>
      </c>
      <c r="I64" s="7">
        <f t="shared" si="0"/>
        <v>6194.35</v>
      </c>
    </row>
    <row r="65" spans="1:9" x14ac:dyDescent="0.35">
      <c r="A65" s="3">
        <v>45317</v>
      </c>
      <c r="B65" t="s">
        <v>10</v>
      </c>
      <c r="C65" t="s">
        <v>15</v>
      </c>
      <c r="D65" t="s">
        <v>22</v>
      </c>
      <c r="E65">
        <v>5</v>
      </c>
      <c r="F65" s="7">
        <v>1514.25</v>
      </c>
      <c r="G65" s="7">
        <v>7571.25</v>
      </c>
      <c r="H65" s="7">
        <v>1514.51</v>
      </c>
      <c r="I65" s="7">
        <f t="shared" si="0"/>
        <v>6056.74</v>
      </c>
    </row>
    <row r="66" spans="1:9" x14ac:dyDescent="0.35">
      <c r="A66" s="3">
        <v>45317</v>
      </c>
      <c r="B66" t="s">
        <v>11</v>
      </c>
      <c r="C66" t="s">
        <v>17</v>
      </c>
      <c r="D66" t="s">
        <v>27</v>
      </c>
      <c r="E66">
        <v>9</v>
      </c>
      <c r="F66" s="7">
        <v>754.58</v>
      </c>
      <c r="G66" s="7">
        <v>6791.22</v>
      </c>
      <c r="H66" s="7">
        <v>1107.42</v>
      </c>
      <c r="I66" s="7">
        <f t="shared" si="0"/>
        <v>5683.8</v>
      </c>
    </row>
    <row r="67" spans="1:9" x14ac:dyDescent="0.35">
      <c r="A67" s="3">
        <v>45317</v>
      </c>
      <c r="B67" t="s">
        <v>13</v>
      </c>
      <c r="C67" t="s">
        <v>16</v>
      </c>
      <c r="D67" t="s">
        <v>25</v>
      </c>
      <c r="E67">
        <v>10</v>
      </c>
      <c r="F67" s="7">
        <v>1101.9000000000001</v>
      </c>
      <c r="G67" s="7">
        <v>11019</v>
      </c>
      <c r="H67" s="7">
        <v>2007.56</v>
      </c>
      <c r="I67" s="7">
        <f t="shared" ref="I67:I130" si="1">G67-H67</f>
        <v>9011.44</v>
      </c>
    </row>
    <row r="68" spans="1:9" x14ac:dyDescent="0.35">
      <c r="A68" s="3">
        <v>45318</v>
      </c>
      <c r="B68" t="s">
        <v>10</v>
      </c>
      <c r="C68" t="s">
        <v>15</v>
      </c>
      <c r="D68" t="s">
        <v>24</v>
      </c>
      <c r="E68">
        <v>7</v>
      </c>
      <c r="F68" s="7">
        <v>2071.52</v>
      </c>
      <c r="G68" s="7">
        <v>14500.64</v>
      </c>
      <c r="H68" s="7">
        <v>2769.61</v>
      </c>
      <c r="I68" s="7">
        <f t="shared" si="1"/>
        <v>11731.029999999999</v>
      </c>
    </row>
    <row r="69" spans="1:9" x14ac:dyDescent="0.35">
      <c r="A69" s="3">
        <v>45318</v>
      </c>
      <c r="B69" t="s">
        <v>8</v>
      </c>
      <c r="C69" t="s">
        <v>17</v>
      </c>
      <c r="D69" t="s">
        <v>27</v>
      </c>
      <c r="E69">
        <v>8</v>
      </c>
      <c r="F69" s="7">
        <v>1851.25</v>
      </c>
      <c r="G69" s="7">
        <v>14810</v>
      </c>
      <c r="H69" s="7">
        <v>2616.5700000000002</v>
      </c>
      <c r="I69" s="7">
        <f t="shared" si="1"/>
        <v>12193.43</v>
      </c>
    </row>
    <row r="70" spans="1:9" x14ac:dyDescent="0.35">
      <c r="A70" s="3">
        <v>45318</v>
      </c>
      <c r="B70" t="s">
        <v>9</v>
      </c>
      <c r="C70" t="s">
        <v>16</v>
      </c>
      <c r="D70" t="s">
        <v>25</v>
      </c>
      <c r="E70">
        <v>2</v>
      </c>
      <c r="F70" s="7">
        <v>1067.57</v>
      </c>
      <c r="G70" s="7">
        <v>2135.14</v>
      </c>
      <c r="H70" s="7">
        <v>426.13</v>
      </c>
      <c r="I70" s="7">
        <f t="shared" si="1"/>
        <v>1709.0099999999998</v>
      </c>
    </row>
    <row r="71" spans="1:9" x14ac:dyDescent="0.35">
      <c r="A71" s="3">
        <v>45319</v>
      </c>
      <c r="B71" t="s">
        <v>13</v>
      </c>
      <c r="C71" t="s">
        <v>14</v>
      </c>
      <c r="D71" t="s">
        <v>20</v>
      </c>
      <c r="E71">
        <v>5</v>
      </c>
      <c r="F71" s="7">
        <v>949.28</v>
      </c>
      <c r="G71" s="7">
        <v>4746.3999999999996</v>
      </c>
      <c r="H71" s="7">
        <v>616.41</v>
      </c>
      <c r="I71" s="7">
        <f t="shared" si="1"/>
        <v>4129.99</v>
      </c>
    </row>
    <row r="72" spans="1:9" x14ac:dyDescent="0.35">
      <c r="A72" s="3">
        <v>45319</v>
      </c>
      <c r="B72" t="s">
        <v>11</v>
      </c>
      <c r="C72" t="s">
        <v>14</v>
      </c>
      <c r="D72" t="s">
        <v>20</v>
      </c>
      <c r="E72">
        <v>8</v>
      </c>
      <c r="F72" s="7">
        <v>1722.55</v>
      </c>
      <c r="G72" s="7">
        <v>13780.4</v>
      </c>
      <c r="H72" s="7">
        <v>2966.55</v>
      </c>
      <c r="I72" s="7">
        <f t="shared" si="1"/>
        <v>10813.849999999999</v>
      </c>
    </row>
    <row r="73" spans="1:9" x14ac:dyDescent="0.35">
      <c r="A73" s="3">
        <v>45319</v>
      </c>
      <c r="B73" t="s">
        <v>8</v>
      </c>
      <c r="C73" t="s">
        <v>17</v>
      </c>
      <c r="D73" t="s">
        <v>28</v>
      </c>
      <c r="E73">
        <v>7</v>
      </c>
      <c r="F73" s="7">
        <v>1488.75</v>
      </c>
      <c r="G73" s="7">
        <v>10421.25</v>
      </c>
      <c r="H73" s="7">
        <v>1423.52</v>
      </c>
      <c r="I73" s="7">
        <f t="shared" si="1"/>
        <v>8997.73</v>
      </c>
    </row>
    <row r="74" spans="1:9" x14ac:dyDescent="0.35">
      <c r="A74" s="3">
        <v>45320</v>
      </c>
      <c r="B74" t="s">
        <v>9</v>
      </c>
      <c r="C74" t="s">
        <v>14</v>
      </c>
      <c r="D74" t="s">
        <v>19</v>
      </c>
      <c r="E74">
        <v>4</v>
      </c>
      <c r="F74" s="7">
        <v>851.77</v>
      </c>
      <c r="G74" s="7">
        <v>3407.08</v>
      </c>
      <c r="H74" s="7">
        <v>830.29</v>
      </c>
      <c r="I74" s="7">
        <f t="shared" si="1"/>
        <v>2576.79</v>
      </c>
    </row>
    <row r="75" spans="1:9" x14ac:dyDescent="0.35">
      <c r="A75" s="3">
        <v>45321</v>
      </c>
      <c r="B75" t="s">
        <v>8</v>
      </c>
      <c r="C75" t="s">
        <v>14</v>
      </c>
      <c r="D75" t="s">
        <v>20</v>
      </c>
      <c r="E75">
        <v>2</v>
      </c>
      <c r="F75" s="7">
        <v>1412.92</v>
      </c>
      <c r="G75" s="7">
        <v>2825.84</v>
      </c>
      <c r="H75" s="7">
        <v>622.29</v>
      </c>
      <c r="I75" s="7">
        <f t="shared" si="1"/>
        <v>2203.5500000000002</v>
      </c>
    </row>
    <row r="76" spans="1:9" x14ac:dyDescent="0.35">
      <c r="A76" s="3">
        <v>45321</v>
      </c>
      <c r="B76" t="s">
        <v>11</v>
      </c>
      <c r="C76" t="s">
        <v>15</v>
      </c>
      <c r="D76" t="s">
        <v>30</v>
      </c>
      <c r="E76">
        <v>10</v>
      </c>
      <c r="F76" s="7">
        <v>2130.0100000000002</v>
      </c>
      <c r="G76" s="7">
        <v>21300.1</v>
      </c>
      <c r="H76" s="7">
        <v>4980.03</v>
      </c>
      <c r="I76" s="7">
        <f t="shared" si="1"/>
        <v>16320.07</v>
      </c>
    </row>
    <row r="77" spans="1:9" x14ac:dyDescent="0.35">
      <c r="A77" s="3">
        <v>45321</v>
      </c>
      <c r="B77" t="s">
        <v>8</v>
      </c>
      <c r="C77" t="s">
        <v>17</v>
      </c>
      <c r="D77" t="s">
        <v>28</v>
      </c>
      <c r="E77">
        <v>8</v>
      </c>
      <c r="F77" s="7">
        <v>1400.14</v>
      </c>
      <c r="G77" s="7">
        <v>11201.12</v>
      </c>
      <c r="H77" s="7">
        <v>2383.2199999999998</v>
      </c>
      <c r="I77" s="7">
        <f t="shared" si="1"/>
        <v>8817.9000000000015</v>
      </c>
    </row>
    <row r="78" spans="1:9" x14ac:dyDescent="0.35">
      <c r="A78" s="3">
        <v>45321</v>
      </c>
      <c r="B78" t="s">
        <v>10</v>
      </c>
      <c r="C78" t="s">
        <v>15</v>
      </c>
      <c r="D78" t="s">
        <v>30</v>
      </c>
      <c r="E78">
        <v>4</v>
      </c>
      <c r="F78" s="7">
        <v>1049.19</v>
      </c>
      <c r="G78" s="7">
        <v>4196.76</v>
      </c>
      <c r="H78" s="7">
        <v>468.45</v>
      </c>
      <c r="I78" s="7">
        <f t="shared" si="1"/>
        <v>3728.3100000000004</v>
      </c>
    </row>
    <row r="79" spans="1:9" x14ac:dyDescent="0.35">
      <c r="A79" s="3">
        <v>45322</v>
      </c>
      <c r="B79" t="s">
        <v>12</v>
      </c>
      <c r="C79" t="s">
        <v>15</v>
      </c>
      <c r="D79" t="s">
        <v>23</v>
      </c>
      <c r="E79">
        <v>6</v>
      </c>
      <c r="F79" s="7">
        <v>2286.0500000000002</v>
      </c>
      <c r="G79" s="7">
        <v>13716.3</v>
      </c>
      <c r="H79" s="7">
        <v>1537.41</v>
      </c>
      <c r="I79" s="7">
        <f t="shared" si="1"/>
        <v>12178.89</v>
      </c>
    </row>
    <row r="80" spans="1:9" x14ac:dyDescent="0.35">
      <c r="A80" s="3">
        <v>45322</v>
      </c>
      <c r="B80" t="s">
        <v>11</v>
      </c>
      <c r="C80" t="s">
        <v>16</v>
      </c>
      <c r="D80" t="s">
        <v>26</v>
      </c>
      <c r="E80">
        <v>3</v>
      </c>
      <c r="F80" s="7">
        <v>1912.84</v>
      </c>
      <c r="G80" s="7">
        <v>5738.52</v>
      </c>
      <c r="H80" s="7">
        <v>629.14</v>
      </c>
      <c r="I80" s="7">
        <f t="shared" si="1"/>
        <v>5109.38</v>
      </c>
    </row>
    <row r="81" spans="1:9" x14ac:dyDescent="0.35">
      <c r="A81" s="3">
        <v>45323</v>
      </c>
      <c r="B81" t="s">
        <v>9</v>
      </c>
      <c r="C81" t="s">
        <v>17</v>
      </c>
      <c r="D81" t="s">
        <v>27</v>
      </c>
      <c r="E81">
        <v>1</v>
      </c>
      <c r="F81" s="7">
        <v>913.67</v>
      </c>
      <c r="G81" s="7">
        <v>913.67</v>
      </c>
      <c r="H81" s="7">
        <v>148.94999999999999</v>
      </c>
      <c r="I81" s="7">
        <f t="shared" si="1"/>
        <v>764.72</v>
      </c>
    </row>
    <row r="82" spans="1:9" x14ac:dyDescent="0.35">
      <c r="A82" s="3">
        <v>45323</v>
      </c>
      <c r="B82" t="s">
        <v>11</v>
      </c>
      <c r="C82" t="s">
        <v>14</v>
      </c>
      <c r="D82" t="s">
        <v>19</v>
      </c>
      <c r="E82">
        <v>8</v>
      </c>
      <c r="F82" s="7">
        <v>511.79</v>
      </c>
      <c r="G82" s="7">
        <v>4094.32</v>
      </c>
      <c r="H82" s="7">
        <v>625.46</v>
      </c>
      <c r="I82" s="7">
        <f t="shared" si="1"/>
        <v>3468.86</v>
      </c>
    </row>
    <row r="83" spans="1:9" x14ac:dyDescent="0.35">
      <c r="A83" s="3">
        <v>45323</v>
      </c>
      <c r="B83" t="s">
        <v>13</v>
      </c>
      <c r="C83" t="s">
        <v>17</v>
      </c>
      <c r="D83" t="s">
        <v>28</v>
      </c>
      <c r="E83">
        <v>8</v>
      </c>
      <c r="F83" s="7">
        <v>938.84</v>
      </c>
      <c r="G83" s="7">
        <v>7510.72</v>
      </c>
      <c r="H83" s="7">
        <v>1242.0899999999999</v>
      </c>
      <c r="I83" s="7">
        <f t="shared" si="1"/>
        <v>6268.63</v>
      </c>
    </row>
    <row r="84" spans="1:9" x14ac:dyDescent="0.35">
      <c r="A84" s="3">
        <v>45324</v>
      </c>
      <c r="B84" t="s">
        <v>9</v>
      </c>
      <c r="C84" t="s">
        <v>15</v>
      </c>
      <c r="D84" t="s">
        <v>30</v>
      </c>
      <c r="E84">
        <v>3</v>
      </c>
      <c r="F84" s="7">
        <v>2181.0100000000002</v>
      </c>
      <c r="G84" s="7">
        <v>6543.03</v>
      </c>
      <c r="H84" s="7">
        <v>1556.79</v>
      </c>
      <c r="I84" s="7">
        <f t="shared" si="1"/>
        <v>4986.24</v>
      </c>
    </row>
    <row r="85" spans="1:9" x14ac:dyDescent="0.35">
      <c r="A85" s="3">
        <v>45324</v>
      </c>
      <c r="B85" t="s">
        <v>8</v>
      </c>
      <c r="C85" t="s">
        <v>14</v>
      </c>
      <c r="D85" t="s">
        <v>19</v>
      </c>
      <c r="E85">
        <v>10</v>
      </c>
      <c r="F85" s="7">
        <v>1628.78</v>
      </c>
      <c r="G85" s="7">
        <v>16287.8</v>
      </c>
      <c r="H85" s="7">
        <v>1694.99</v>
      </c>
      <c r="I85" s="7">
        <f t="shared" si="1"/>
        <v>14592.81</v>
      </c>
    </row>
    <row r="86" spans="1:9" x14ac:dyDescent="0.35">
      <c r="A86" s="3">
        <v>45324</v>
      </c>
      <c r="B86" t="s">
        <v>10</v>
      </c>
      <c r="C86" t="s">
        <v>17</v>
      </c>
      <c r="D86" t="s">
        <v>28</v>
      </c>
      <c r="E86">
        <v>8</v>
      </c>
      <c r="F86" s="7">
        <v>863.46</v>
      </c>
      <c r="G86" s="7">
        <v>6907.68</v>
      </c>
      <c r="H86" s="7">
        <v>960.33</v>
      </c>
      <c r="I86" s="7">
        <f t="shared" si="1"/>
        <v>5947.35</v>
      </c>
    </row>
    <row r="87" spans="1:9" x14ac:dyDescent="0.35">
      <c r="A87" s="3">
        <v>45324</v>
      </c>
      <c r="B87" t="s">
        <v>10</v>
      </c>
      <c r="C87" t="s">
        <v>16</v>
      </c>
      <c r="D87" t="s">
        <v>26</v>
      </c>
      <c r="E87">
        <v>6</v>
      </c>
      <c r="F87" s="7">
        <v>1175</v>
      </c>
      <c r="G87" s="7">
        <v>7050</v>
      </c>
      <c r="H87" s="7">
        <v>1635.22</v>
      </c>
      <c r="I87" s="7">
        <f t="shared" si="1"/>
        <v>5414.78</v>
      </c>
    </row>
    <row r="88" spans="1:9" x14ac:dyDescent="0.35">
      <c r="A88" s="3">
        <v>45325</v>
      </c>
      <c r="B88" t="s">
        <v>10</v>
      </c>
      <c r="C88" t="s">
        <v>15</v>
      </c>
      <c r="D88" t="s">
        <v>22</v>
      </c>
      <c r="E88">
        <v>8</v>
      </c>
      <c r="F88" s="7">
        <v>538.77</v>
      </c>
      <c r="G88" s="7">
        <v>4310.16</v>
      </c>
      <c r="H88" s="7">
        <v>779.76</v>
      </c>
      <c r="I88" s="7">
        <f t="shared" si="1"/>
        <v>3530.3999999999996</v>
      </c>
    </row>
    <row r="89" spans="1:9" x14ac:dyDescent="0.35">
      <c r="A89" s="3">
        <v>45325</v>
      </c>
      <c r="B89" t="s">
        <v>13</v>
      </c>
      <c r="C89" t="s">
        <v>16</v>
      </c>
      <c r="D89" t="s">
        <v>25</v>
      </c>
      <c r="E89">
        <v>2</v>
      </c>
      <c r="F89" s="7">
        <v>2062.4699999999998</v>
      </c>
      <c r="G89" s="7">
        <v>4124.9399999999996</v>
      </c>
      <c r="H89" s="7">
        <v>815.76</v>
      </c>
      <c r="I89" s="7">
        <f t="shared" si="1"/>
        <v>3309.1799999999994</v>
      </c>
    </row>
    <row r="90" spans="1:9" x14ac:dyDescent="0.35">
      <c r="A90" s="3">
        <v>45325</v>
      </c>
      <c r="B90" t="s">
        <v>11</v>
      </c>
      <c r="C90" t="s">
        <v>16</v>
      </c>
      <c r="D90" t="s">
        <v>29</v>
      </c>
      <c r="E90">
        <v>1</v>
      </c>
      <c r="F90" s="7">
        <v>1742.67</v>
      </c>
      <c r="G90" s="7">
        <v>1742.67</v>
      </c>
      <c r="H90" s="7">
        <v>236.62</v>
      </c>
      <c r="I90" s="7">
        <f t="shared" si="1"/>
        <v>1506.0500000000002</v>
      </c>
    </row>
    <row r="91" spans="1:9" x14ac:dyDescent="0.35">
      <c r="A91" s="3">
        <v>45325</v>
      </c>
      <c r="B91" t="s">
        <v>12</v>
      </c>
      <c r="C91" t="s">
        <v>14</v>
      </c>
      <c r="D91" t="s">
        <v>20</v>
      </c>
      <c r="E91">
        <v>8</v>
      </c>
      <c r="F91" s="7">
        <v>1898.93</v>
      </c>
      <c r="G91" s="7">
        <v>15191.44</v>
      </c>
      <c r="H91" s="7">
        <v>3266.69</v>
      </c>
      <c r="I91" s="7">
        <f t="shared" si="1"/>
        <v>11924.75</v>
      </c>
    </row>
    <row r="92" spans="1:9" x14ac:dyDescent="0.35">
      <c r="A92" s="3">
        <v>45326</v>
      </c>
      <c r="B92" t="s">
        <v>10</v>
      </c>
      <c r="C92" t="s">
        <v>14</v>
      </c>
      <c r="D92" t="s">
        <v>20</v>
      </c>
      <c r="E92">
        <v>5</v>
      </c>
      <c r="F92" s="7">
        <v>716.2</v>
      </c>
      <c r="G92" s="7">
        <v>3581</v>
      </c>
      <c r="H92" s="7">
        <v>371.89</v>
      </c>
      <c r="I92" s="7">
        <f t="shared" si="1"/>
        <v>3209.11</v>
      </c>
    </row>
    <row r="93" spans="1:9" x14ac:dyDescent="0.35">
      <c r="A93" s="3">
        <v>45326</v>
      </c>
      <c r="B93" t="s">
        <v>8</v>
      </c>
      <c r="C93" t="s">
        <v>17</v>
      </c>
      <c r="D93" t="s">
        <v>27</v>
      </c>
      <c r="E93">
        <v>4</v>
      </c>
      <c r="F93" s="7">
        <v>651.99</v>
      </c>
      <c r="G93" s="7">
        <v>2607.96</v>
      </c>
      <c r="H93" s="7">
        <v>530.96</v>
      </c>
      <c r="I93" s="7">
        <f t="shared" si="1"/>
        <v>2077</v>
      </c>
    </row>
    <row r="94" spans="1:9" x14ac:dyDescent="0.35">
      <c r="A94" s="3">
        <v>45326</v>
      </c>
      <c r="B94" t="s">
        <v>13</v>
      </c>
      <c r="C94" t="s">
        <v>16</v>
      </c>
      <c r="D94" t="s">
        <v>29</v>
      </c>
      <c r="E94">
        <v>5</v>
      </c>
      <c r="F94" s="7">
        <v>2200.59</v>
      </c>
      <c r="G94" s="7">
        <v>11002.95</v>
      </c>
      <c r="H94" s="7">
        <v>2091.2399999999998</v>
      </c>
      <c r="I94" s="7">
        <f t="shared" si="1"/>
        <v>8911.7100000000009</v>
      </c>
    </row>
    <row r="95" spans="1:9" x14ac:dyDescent="0.35">
      <c r="A95" s="3">
        <v>45326</v>
      </c>
      <c r="B95" t="s">
        <v>9</v>
      </c>
      <c r="C95" t="s">
        <v>14</v>
      </c>
      <c r="D95" t="s">
        <v>18</v>
      </c>
      <c r="E95">
        <v>9</v>
      </c>
      <c r="F95" s="7">
        <v>1356.76</v>
      </c>
      <c r="G95" s="7">
        <v>12210.84</v>
      </c>
      <c r="H95" s="7">
        <v>1899.83</v>
      </c>
      <c r="I95" s="7">
        <f t="shared" si="1"/>
        <v>10311.01</v>
      </c>
    </row>
    <row r="96" spans="1:9" x14ac:dyDescent="0.35">
      <c r="A96" s="3">
        <v>45326</v>
      </c>
      <c r="B96" t="s">
        <v>10</v>
      </c>
      <c r="C96" t="s">
        <v>15</v>
      </c>
      <c r="D96" t="s">
        <v>22</v>
      </c>
      <c r="E96">
        <v>7</v>
      </c>
      <c r="F96" s="7">
        <v>2144.66</v>
      </c>
      <c r="G96" s="7">
        <v>15012.62</v>
      </c>
      <c r="H96" s="7">
        <v>1738.92</v>
      </c>
      <c r="I96" s="7">
        <f t="shared" si="1"/>
        <v>13273.7</v>
      </c>
    </row>
    <row r="97" spans="1:9" x14ac:dyDescent="0.35">
      <c r="A97" s="3">
        <v>45327</v>
      </c>
      <c r="B97" t="s">
        <v>10</v>
      </c>
      <c r="C97" t="s">
        <v>16</v>
      </c>
      <c r="D97" t="s">
        <v>26</v>
      </c>
      <c r="E97">
        <v>3</v>
      </c>
      <c r="F97" s="7">
        <v>1967.59</v>
      </c>
      <c r="G97" s="7">
        <v>5902.77</v>
      </c>
      <c r="H97" s="7">
        <v>1445.12</v>
      </c>
      <c r="I97" s="7">
        <f t="shared" si="1"/>
        <v>4457.6500000000005</v>
      </c>
    </row>
    <row r="98" spans="1:9" x14ac:dyDescent="0.35">
      <c r="A98" s="3">
        <v>45327</v>
      </c>
      <c r="B98" t="s">
        <v>10</v>
      </c>
      <c r="C98" t="s">
        <v>17</v>
      </c>
      <c r="D98" t="s">
        <v>27</v>
      </c>
      <c r="E98">
        <v>7</v>
      </c>
      <c r="F98" s="7">
        <v>2151.4699999999998</v>
      </c>
      <c r="G98" s="7">
        <v>15060.29</v>
      </c>
      <c r="H98" s="7">
        <v>2844.45</v>
      </c>
      <c r="I98" s="7">
        <f t="shared" si="1"/>
        <v>12215.84</v>
      </c>
    </row>
    <row r="99" spans="1:9" x14ac:dyDescent="0.35">
      <c r="A99" s="3">
        <v>45327</v>
      </c>
      <c r="B99" t="s">
        <v>11</v>
      </c>
      <c r="C99" t="s">
        <v>16</v>
      </c>
      <c r="D99" t="s">
        <v>29</v>
      </c>
      <c r="E99">
        <v>5</v>
      </c>
      <c r="F99" s="7">
        <v>2263.2600000000002</v>
      </c>
      <c r="G99" s="7">
        <v>11316.3</v>
      </c>
      <c r="H99" s="7">
        <v>1545.57</v>
      </c>
      <c r="I99" s="7">
        <f t="shared" si="1"/>
        <v>9770.73</v>
      </c>
    </row>
    <row r="100" spans="1:9" x14ac:dyDescent="0.35">
      <c r="A100" s="3">
        <v>45327</v>
      </c>
      <c r="B100" t="s">
        <v>11</v>
      </c>
      <c r="C100" t="s">
        <v>17</v>
      </c>
      <c r="D100" t="s">
        <v>27</v>
      </c>
      <c r="E100">
        <v>1</v>
      </c>
      <c r="F100" s="7">
        <v>1488.61</v>
      </c>
      <c r="G100" s="7">
        <v>1488.61</v>
      </c>
      <c r="H100" s="7">
        <v>221.43</v>
      </c>
      <c r="I100" s="7">
        <f t="shared" si="1"/>
        <v>1267.1799999999998</v>
      </c>
    </row>
    <row r="101" spans="1:9" x14ac:dyDescent="0.35">
      <c r="A101" s="3">
        <v>45328</v>
      </c>
      <c r="B101" t="s">
        <v>10</v>
      </c>
      <c r="C101" t="s">
        <v>15</v>
      </c>
      <c r="D101" t="s">
        <v>23</v>
      </c>
      <c r="E101">
        <v>6</v>
      </c>
      <c r="F101" s="7">
        <v>1059.32</v>
      </c>
      <c r="G101" s="7">
        <v>6355.92</v>
      </c>
      <c r="H101" s="7">
        <v>1203.96</v>
      </c>
      <c r="I101" s="7">
        <f t="shared" si="1"/>
        <v>5151.96</v>
      </c>
    </row>
    <row r="102" spans="1:9" x14ac:dyDescent="0.35">
      <c r="A102" s="3">
        <v>45328</v>
      </c>
      <c r="B102" t="s">
        <v>9</v>
      </c>
      <c r="C102" t="s">
        <v>14</v>
      </c>
      <c r="D102" t="s">
        <v>20</v>
      </c>
      <c r="E102">
        <v>2</v>
      </c>
      <c r="F102" s="7">
        <v>982.71</v>
      </c>
      <c r="G102" s="7">
        <v>1965.42</v>
      </c>
      <c r="H102" s="7">
        <v>316.36</v>
      </c>
      <c r="I102" s="7">
        <f t="shared" si="1"/>
        <v>1649.06</v>
      </c>
    </row>
    <row r="103" spans="1:9" x14ac:dyDescent="0.35">
      <c r="A103" s="3">
        <v>45329</v>
      </c>
      <c r="B103" t="s">
        <v>12</v>
      </c>
      <c r="C103" t="s">
        <v>17</v>
      </c>
      <c r="D103" t="s">
        <v>27</v>
      </c>
      <c r="E103">
        <v>8</v>
      </c>
      <c r="F103" s="7">
        <v>2085.87</v>
      </c>
      <c r="G103" s="7">
        <v>16686.96</v>
      </c>
      <c r="H103" s="7">
        <v>1901.61</v>
      </c>
      <c r="I103" s="7">
        <f t="shared" si="1"/>
        <v>14785.349999999999</v>
      </c>
    </row>
    <row r="104" spans="1:9" x14ac:dyDescent="0.35">
      <c r="A104" s="3">
        <v>45329</v>
      </c>
      <c r="B104" t="s">
        <v>9</v>
      </c>
      <c r="C104" t="s">
        <v>17</v>
      </c>
      <c r="D104" t="s">
        <v>28</v>
      </c>
      <c r="E104">
        <v>5</v>
      </c>
      <c r="F104" s="7">
        <v>1827.92</v>
      </c>
      <c r="G104" s="7">
        <v>9139.6</v>
      </c>
      <c r="H104" s="7">
        <v>1419.86</v>
      </c>
      <c r="I104" s="7">
        <f t="shared" si="1"/>
        <v>7719.7400000000007</v>
      </c>
    </row>
    <row r="105" spans="1:9" x14ac:dyDescent="0.35">
      <c r="A105" s="3">
        <v>45330</v>
      </c>
      <c r="B105" t="s">
        <v>10</v>
      </c>
      <c r="C105" t="s">
        <v>15</v>
      </c>
      <c r="D105" t="s">
        <v>30</v>
      </c>
      <c r="E105">
        <v>9</v>
      </c>
      <c r="F105" s="7">
        <v>1161.58</v>
      </c>
      <c r="G105" s="7">
        <v>10454.219999999999</v>
      </c>
      <c r="H105" s="7">
        <v>2147.59</v>
      </c>
      <c r="I105" s="7">
        <f t="shared" si="1"/>
        <v>8306.6299999999992</v>
      </c>
    </row>
    <row r="106" spans="1:9" x14ac:dyDescent="0.35">
      <c r="A106" s="3">
        <v>45330</v>
      </c>
      <c r="B106" t="s">
        <v>13</v>
      </c>
      <c r="C106" t="s">
        <v>15</v>
      </c>
      <c r="D106" t="s">
        <v>23</v>
      </c>
      <c r="E106">
        <v>4</v>
      </c>
      <c r="F106" s="7">
        <v>741.31</v>
      </c>
      <c r="G106" s="7">
        <v>2965.24</v>
      </c>
      <c r="H106" s="7">
        <v>382.18</v>
      </c>
      <c r="I106" s="7">
        <f t="shared" si="1"/>
        <v>2583.06</v>
      </c>
    </row>
    <row r="107" spans="1:9" x14ac:dyDescent="0.35">
      <c r="A107" s="3">
        <v>45330</v>
      </c>
      <c r="B107" t="s">
        <v>9</v>
      </c>
      <c r="C107" t="s">
        <v>16</v>
      </c>
      <c r="D107" t="s">
        <v>29</v>
      </c>
      <c r="E107">
        <v>4</v>
      </c>
      <c r="F107" s="7">
        <v>1977.21</v>
      </c>
      <c r="G107" s="7">
        <v>7908.84</v>
      </c>
      <c r="H107" s="7">
        <v>1118.9000000000001</v>
      </c>
      <c r="I107" s="7">
        <f t="shared" si="1"/>
        <v>6789.9400000000005</v>
      </c>
    </row>
    <row r="108" spans="1:9" x14ac:dyDescent="0.35">
      <c r="A108" s="3">
        <v>45330</v>
      </c>
      <c r="B108" t="s">
        <v>10</v>
      </c>
      <c r="C108" t="s">
        <v>15</v>
      </c>
      <c r="D108" t="s">
        <v>22</v>
      </c>
      <c r="E108">
        <v>4</v>
      </c>
      <c r="F108" s="7">
        <v>1092.49</v>
      </c>
      <c r="G108" s="7">
        <v>4369.96</v>
      </c>
      <c r="H108" s="7">
        <v>673.55</v>
      </c>
      <c r="I108" s="7">
        <f t="shared" si="1"/>
        <v>3696.41</v>
      </c>
    </row>
    <row r="109" spans="1:9" x14ac:dyDescent="0.35">
      <c r="A109" s="3">
        <v>45330</v>
      </c>
      <c r="B109" t="s">
        <v>10</v>
      </c>
      <c r="C109" t="s">
        <v>14</v>
      </c>
      <c r="D109" t="s">
        <v>20</v>
      </c>
      <c r="E109">
        <v>5</v>
      </c>
      <c r="F109" s="7">
        <v>591.03</v>
      </c>
      <c r="G109" s="7">
        <v>2955.15</v>
      </c>
      <c r="H109" s="7">
        <v>319.68</v>
      </c>
      <c r="I109" s="7">
        <f t="shared" si="1"/>
        <v>2635.4700000000003</v>
      </c>
    </row>
    <row r="110" spans="1:9" x14ac:dyDescent="0.35">
      <c r="A110" s="3">
        <v>45331</v>
      </c>
      <c r="B110" t="s">
        <v>11</v>
      </c>
      <c r="C110" t="s">
        <v>17</v>
      </c>
      <c r="D110" t="s">
        <v>28</v>
      </c>
      <c r="E110">
        <v>1</v>
      </c>
      <c r="F110" s="7">
        <v>1648.13</v>
      </c>
      <c r="G110" s="7">
        <v>1648.13</v>
      </c>
      <c r="H110" s="7">
        <v>280.86</v>
      </c>
      <c r="I110" s="7">
        <f t="shared" si="1"/>
        <v>1367.27</v>
      </c>
    </row>
    <row r="111" spans="1:9" x14ac:dyDescent="0.35">
      <c r="A111" s="3">
        <v>45331</v>
      </c>
      <c r="B111" t="s">
        <v>13</v>
      </c>
      <c r="C111" t="s">
        <v>15</v>
      </c>
      <c r="D111" t="s">
        <v>24</v>
      </c>
      <c r="E111">
        <v>1</v>
      </c>
      <c r="F111" s="7">
        <v>1004.96</v>
      </c>
      <c r="G111" s="7">
        <v>1004.96</v>
      </c>
      <c r="H111" s="7">
        <v>230.4</v>
      </c>
      <c r="I111" s="7">
        <f t="shared" si="1"/>
        <v>774.56000000000006</v>
      </c>
    </row>
    <row r="112" spans="1:9" x14ac:dyDescent="0.35">
      <c r="A112" s="3">
        <v>45332</v>
      </c>
      <c r="B112" t="s">
        <v>12</v>
      </c>
      <c r="C112" t="s">
        <v>17</v>
      </c>
      <c r="D112" t="s">
        <v>27</v>
      </c>
      <c r="E112">
        <v>2</v>
      </c>
      <c r="F112" s="7">
        <v>1654.04</v>
      </c>
      <c r="G112" s="7">
        <v>3308.08</v>
      </c>
      <c r="H112" s="7">
        <v>671.43</v>
      </c>
      <c r="I112" s="7">
        <f t="shared" si="1"/>
        <v>2636.65</v>
      </c>
    </row>
    <row r="113" spans="1:9" x14ac:dyDescent="0.35">
      <c r="A113" s="3">
        <v>45333</v>
      </c>
      <c r="B113" t="s">
        <v>9</v>
      </c>
      <c r="C113" t="s">
        <v>15</v>
      </c>
      <c r="D113" t="s">
        <v>22</v>
      </c>
      <c r="E113">
        <v>4</v>
      </c>
      <c r="F113" s="7">
        <v>736.9</v>
      </c>
      <c r="G113" s="7">
        <v>2947.6</v>
      </c>
      <c r="H113" s="7">
        <v>632.75</v>
      </c>
      <c r="I113" s="7">
        <f t="shared" si="1"/>
        <v>2314.85</v>
      </c>
    </row>
    <row r="114" spans="1:9" x14ac:dyDescent="0.35">
      <c r="A114" s="3">
        <v>45333</v>
      </c>
      <c r="B114" t="s">
        <v>9</v>
      </c>
      <c r="C114" t="s">
        <v>16</v>
      </c>
      <c r="D114" t="s">
        <v>25</v>
      </c>
      <c r="E114">
        <v>7</v>
      </c>
      <c r="F114" s="7">
        <v>1401.03</v>
      </c>
      <c r="G114" s="7">
        <v>9807.2099999999991</v>
      </c>
      <c r="H114" s="7">
        <v>1632</v>
      </c>
      <c r="I114" s="7">
        <f t="shared" si="1"/>
        <v>8175.2099999999991</v>
      </c>
    </row>
    <row r="115" spans="1:9" x14ac:dyDescent="0.35">
      <c r="A115" s="3">
        <v>45334</v>
      </c>
      <c r="B115" t="s">
        <v>12</v>
      </c>
      <c r="C115" t="s">
        <v>15</v>
      </c>
      <c r="D115" t="s">
        <v>22</v>
      </c>
      <c r="E115">
        <v>10</v>
      </c>
      <c r="F115" s="7">
        <v>2420.2199999999998</v>
      </c>
      <c r="G115" s="7">
        <v>24202.2</v>
      </c>
      <c r="H115" s="7">
        <v>2780.47</v>
      </c>
      <c r="I115" s="7">
        <f t="shared" si="1"/>
        <v>21421.73</v>
      </c>
    </row>
    <row r="116" spans="1:9" x14ac:dyDescent="0.35">
      <c r="A116" s="3">
        <v>45334</v>
      </c>
      <c r="B116" t="s">
        <v>13</v>
      </c>
      <c r="C116" t="s">
        <v>16</v>
      </c>
      <c r="D116" t="s">
        <v>26</v>
      </c>
      <c r="E116">
        <v>2</v>
      </c>
      <c r="F116" s="7">
        <v>814.11</v>
      </c>
      <c r="G116" s="7">
        <v>1628.22</v>
      </c>
      <c r="H116" s="7">
        <v>205.27</v>
      </c>
      <c r="I116" s="7">
        <f t="shared" si="1"/>
        <v>1422.95</v>
      </c>
    </row>
    <row r="117" spans="1:9" x14ac:dyDescent="0.35">
      <c r="A117" s="3">
        <v>45334</v>
      </c>
      <c r="B117" t="s">
        <v>10</v>
      </c>
      <c r="C117" t="s">
        <v>16</v>
      </c>
      <c r="D117" t="s">
        <v>29</v>
      </c>
      <c r="E117">
        <v>7</v>
      </c>
      <c r="F117" s="7">
        <v>1401.01</v>
      </c>
      <c r="G117" s="7">
        <v>9807.07</v>
      </c>
      <c r="H117" s="7">
        <v>1854.24</v>
      </c>
      <c r="I117" s="7">
        <f t="shared" si="1"/>
        <v>7952.83</v>
      </c>
    </row>
    <row r="118" spans="1:9" x14ac:dyDescent="0.35">
      <c r="A118" s="3">
        <v>45334</v>
      </c>
      <c r="B118" t="s">
        <v>11</v>
      </c>
      <c r="C118" t="s">
        <v>14</v>
      </c>
      <c r="D118" t="s">
        <v>20</v>
      </c>
      <c r="E118">
        <v>5</v>
      </c>
      <c r="F118" s="7">
        <v>1913.91</v>
      </c>
      <c r="G118" s="7">
        <v>9569.5499999999993</v>
      </c>
      <c r="H118" s="7">
        <v>1966.05</v>
      </c>
      <c r="I118" s="7">
        <f t="shared" si="1"/>
        <v>7603.4999999999991</v>
      </c>
    </row>
    <row r="119" spans="1:9" x14ac:dyDescent="0.35">
      <c r="A119" s="3">
        <v>45335</v>
      </c>
      <c r="B119" t="s">
        <v>11</v>
      </c>
      <c r="C119" t="s">
        <v>16</v>
      </c>
      <c r="D119" t="s">
        <v>26</v>
      </c>
      <c r="E119">
        <v>10</v>
      </c>
      <c r="F119" s="7">
        <v>1822.37</v>
      </c>
      <c r="G119" s="7">
        <v>18223.7</v>
      </c>
      <c r="H119" s="7">
        <v>4374.6000000000004</v>
      </c>
      <c r="I119" s="7">
        <f t="shared" si="1"/>
        <v>13849.1</v>
      </c>
    </row>
    <row r="120" spans="1:9" x14ac:dyDescent="0.35">
      <c r="A120" s="3">
        <v>45336</v>
      </c>
      <c r="B120" t="s">
        <v>13</v>
      </c>
      <c r="C120" t="s">
        <v>16</v>
      </c>
      <c r="D120" t="s">
        <v>25</v>
      </c>
      <c r="E120">
        <v>3</v>
      </c>
      <c r="F120" s="7">
        <v>2316.8200000000002</v>
      </c>
      <c r="G120" s="7">
        <v>6950.46</v>
      </c>
      <c r="H120" s="7">
        <v>1556.87</v>
      </c>
      <c r="I120" s="7">
        <f t="shared" si="1"/>
        <v>5393.59</v>
      </c>
    </row>
    <row r="121" spans="1:9" x14ac:dyDescent="0.35">
      <c r="A121" s="3">
        <v>45337</v>
      </c>
      <c r="B121" t="s">
        <v>10</v>
      </c>
      <c r="C121" t="s">
        <v>16</v>
      </c>
      <c r="D121" t="s">
        <v>26</v>
      </c>
      <c r="E121">
        <v>10</v>
      </c>
      <c r="F121" s="7">
        <v>1997.92</v>
      </c>
      <c r="G121" s="7">
        <v>19979.2</v>
      </c>
      <c r="H121" s="7">
        <v>3703.77</v>
      </c>
      <c r="I121" s="7">
        <f t="shared" si="1"/>
        <v>16275.43</v>
      </c>
    </row>
    <row r="122" spans="1:9" x14ac:dyDescent="0.35">
      <c r="A122" s="3">
        <v>45338</v>
      </c>
      <c r="B122" t="s">
        <v>9</v>
      </c>
      <c r="C122" t="s">
        <v>14</v>
      </c>
      <c r="D122" t="s">
        <v>19</v>
      </c>
      <c r="E122">
        <v>5</v>
      </c>
      <c r="F122" s="7">
        <v>1899.47</v>
      </c>
      <c r="G122" s="7">
        <v>9497.35</v>
      </c>
      <c r="H122" s="7">
        <v>2292.67</v>
      </c>
      <c r="I122" s="7">
        <f t="shared" si="1"/>
        <v>7204.68</v>
      </c>
    </row>
    <row r="123" spans="1:9" x14ac:dyDescent="0.35">
      <c r="A123" s="3">
        <v>45338</v>
      </c>
      <c r="B123" t="s">
        <v>8</v>
      </c>
      <c r="C123" t="s">
        <v>17</v>
      </c>
      <c r="D123" t="s">
        <v>27</v>
      </c>
      <c r="E123">
        <v>2</v>
      </c>
      <c r="F123" s="7">
        <v>1696.07</v>
      </c>
      <c r="G123" s="7">
        <v>3392.14</v>
      </c>
      <c r="H123" s="7">
        <v>791.77</v>
      </c>
      <c r="I123" s="7">
        <f t="shared" si="1"/>
        <v>2600.37</v>
      </c>
    </row>
    <row r="124" spans="1:9" x14ac:dyDescent="0.35">
      <c r="A124" s="3">
        <v>45338</v>
      </c>
      <c r="B124" t="s">
        <v>9</v>
      </c>
      <c r="C124" t="s">
        <v>15</v>
      </c>
      <c r="D124" t="s">
        <v>23</v>
      </c>
      <c r="E124">
        <v>1</v>
      </c>
      <c r="F124" s="7">
        <v>682.65</v>
      </c>
      <c r="G124" s="7">
        <v>682.65</v>
      </c>
      <c r="H124" s="7">
        <v>166.76</v>
      </c>
      <c r="I124" s="7">
        <f t="shared" si="1"/>
        <v>515.89</v>
      </c>
    </row>
    <row r="125" spans="1:9" x14ac:dyDescent="0.35">
      <c r="A125" s="3">
        <v>45338</v>
      </c>
      <c r="B125" t="s">
        <v>11</v>
      </c>
      <c r="C125" t="s">
        <v>14</v>
      </c>
      <c r="D125" t="s">
        <v>18</v>
      </c>
      <c r="E125">
        <v>10</v>
      </c>
      <c r="F125" s="7">
        <v>580.46</v>
      </c>
      <c r="G125" s="7">
        <v>5804.6</v>
      </c>
      <c r="H125" s="7">
        <v>1238.94</v>
      </c>
      <c r="I125" s="7">
        <f t="shared" si="1"/>
        <v>4565.66</v>
      </c>
    </row>
    <row r="126" spans="1:9" x14ac:dyDescent="0.35">
      <c r="A126" s="3">
        <v>45339</v>
      </c>
      <c r="B126" t="s">
        <v>11</v>
      </c>
      <c r="C126" t="s">
        <v>17</v>
      </c>
      <c r="D126" t="s">
        <v>27</v>
      </c>
      <c r="E126">
        <v>3</v>
      </c>
      <c r="F126" s="7">
        <v>2493.89</v>
      </c>
      <c r="G126" s="7">
        <v>7481.67</v>
      </c>
      <c r="H126" s="7">
        <v>1237.3399999999999</v>
      </c>
      <c r="I126" s="7">
        <f t="shared" si="1"/>
        <v>6244.33</v>
      </c>
    </row>
    <row r="127" spans="1:9" x14ac:dyDescent="0.35">
      <c r="A127" s="3">
        <v>45339</v>
      </c>
      <c r="B127" t="s">
        <v>13</v>
      </c>
      <c r="C127" t="s">
        <v>14</v>
      </c>
      <c r="D127" t="s">
        <v>19</v>
      </c>
      <c r="E127">
        <v>6</v>
      </c>
      <c r="F127" s="7">
        <v>1316.7</v>
      </c>
      <c r="G127" s="7">
        <v>7900.2</v>
      </c>
      <c r="H127" s="7">
        <v>1170.48</v>
      </c>
      <c r="I127" s="7">
        <f t="shared" si="1"/>
        <v>6729.7199999999993</v>
      </c>
    </row>
    <row r="128" spans="1:9" x14ac:dyDescent="0.35">
      <c r="A128" s="3">
        <v>45339</v>
      </c>
      <c r="B128" t="s">
        <v>11</v>
      </c>
      <c r="C128" t="s">
        <v>16</v>
      </c>
      <c r="D128" t="s">
        <v>26</v>
      </c>
      <c r="E128">
        <v>7</v>
      </c>
      <c r="F128" s="7">
        <v>1887.35</v>
      </c>
      <c r="G128" s="7">
        <v>13211.45</v>
      </c>
      <c r="H128" s="7">
        <v>1892.31</v>
      </c>
      <c r="I128" s="7">
        <f t="shared" si="1"/>
        <v>11319.140000000001</v>
      </c>
    </row>
    <row r="129" spans="1:9" x14ac:dyDescent="0.35">
      <c r="A129" s="3">
        <v>45339</v>
      </c>
      <c r="B129" t="s">
        <v>11</v>
      </c>
      <c r="C129" t="s">
        <v>14</v>
      </c>
      <c r="D129" t="s">
        <v>19</v>
      </c>
      <c r="E129">
        <v>2</v>
      </c>
      <c r="F129" s="7">
        <v>1129.03</v>
      </c>
      <c r="G129" s="7">
        <v>2258.06</v>
      </c>
      <c r="H129" s="7">
        <v>335.3</v>
      </c>
      <c r="I129" s="7">
        <f t="shared" si="1"/>
        <v>1922.76</v>
      </c>
    </row>
    <row r="130" spans="1:9" x14ac:dyDescent="0.35">
      <c r="A130" s="3">
        <v>45339</v>
      </c>
      <c r="B130" t="s">
        <v>9</v>
      </c>
      <c r="C130" t="s">
        <v>14</v>
      </c>
      <c r="D130" t="s">
        <v>19</v>
      </c>
      <c r="E130">
        <v>7</v>
      </c>
      <c r="F130" s="7">
        <v>608.41</v>
      </c>
      <c r="G130" s="7">
        <v>4258.87</v>
      </c>
      <c r="H130" s="7">
        <v>757.08</v>
      </c>
      <c r="I130" s="7">
        <f t="shared" si="1"/>
        <v>3501.79</v>
      </c>
    </row>
    <row r="131" spans="1:9" x14ac:dyDescent="0.35">
      <c r="A131" s="3">
        <v>45340</v>
      </c>
      <c r="B131" t="s">
        <v>10</v>
      </c>
      <c r="C131" t="s">
        <v>17</v>
      </c>
      <c r="D131" t="s">
        <v>28</v>
      </c>
      <c r="E131">
        <v>4</v>
      </c>
      <c r="F131" s="7">
        <v>1034.1099999999999</v>
      </c>
      <c r="G131" s="7">
        <v>4136.4399999999996</v>
      </c>
      <c r="H131" s="7">
        <v>494.93</v>
      </c>
      <c r="I131" s="7">
        <f t="shared" ref="I131:I194" si="2">G131-H131</f>
        <v>3641.5099999999998</v>
      </c>
    </row>
    <row r="132" spans="1:9" x14ac:dyDescent="0.35">
      <c r="A132" s="3">
        <v>45340</v>
      </c>
      <c r="B132" t="s">
        <v>12</v>
      </c>
      <c r="C132" t="s">
        <v>17</v>
      </c>
      <c r="D132" t="s">
        <v>27</v>
      </c>
      <c r="E132">
        <v>2</v>
      </c>
      <c r="F132" s="7">
        <v>557.74</v>
      </c>
      <c r="G132" s="7">
        <v>1115.48</v>
      </c>
      <c r="H132" s="7">
        <v>216.96</v>
      </c>
      <c r="I132" s="7">
        <f t="shared" si="2"/>
        <v>898.52</v>
      </c>
    </row>
    <row r="133" spans="1:9" x14ac:dyDescent="0.35">
      <c r="A133" s="3">
        <v>45340</v>
      </c>
      <c r="B133" t="s">
        <v>12</v>
      </c>
      <c r="C133" t="s">
        <v>16</v>
      </c>
      <c r="D133" t="s">
        <v>26</v>
      </c>
      <c r="E133">
        <v>9</v>
      </c>
      <c r="F133" s="7">
        <v>527.35</v>
      </c>
      <c r="G133" s="7">
        <v>4746.1499999999996</v>
      </c>
      <c r="H133" s="7">
        <v>765.07</v>
      </c>
      <c r="I133" s="7">
        <f t="shared" si="2"/>
        <v>3981.0799999999995</v>
      </c>
    </row>
    <row r="134" spans="1:9" x14ac:dyDescent="0.35">
      <c r="A134" s="3">
        <v>45340</v>
      </c>
      <c r="B134" t="s">
        <v>8</v>
      </c>
      <c r="C134" t="s">
        <v>14</v>
      </c>
      <c r="D134" t="s">
        <v>19</v>
      </c>
      <c r="E134">
        <v>2</v>
      </c>
      <c r="F134" s="7">
        <v>1795.42</v>
      </c>
      <c r="G134" s="7">
        <v>3590.84</v>
      </c>
      <c r="H134" s="7">
        <v>442.02</v>
      </c>
      <c r="I134" s="7">
        <f t="shared" si="2"/>
        <v>3148.82</v>
      </c>
    </row>
    <row r="135" spans="1:9" x14ac:dyDescent="0.35">
      <c r="A135" s="3">
        <v>45341</v>
      </c>
      <c r="B135" t="s">
        <v>9</v>
      </c>
      <c r="C135" t="s">
        <v>15</v>
      </c>
      <c r="D135" t="s">
        <v>30</v>
      </c>
      <c r="E135">
        <v>8</v>
      </c>
      <c r="F135" s="7">
        <v>2460.4899999999998</v>
      </c>
      <c r="G135" s="7">
        <v>19683.919999999998</v>
      </c>
      <c r="H135" s="7">
        <v>2688.03</v>
      </c>
      <c r="I135" s="7">
        <f t="shared" si="2"/>
        <v>16995.89</v>
      </c>
    </row>
    <row r="136" spans="1:9" x14ac:dyDescent="0.35">
      <c r="A136" s="3">
        <v>45341</v>
      </c>
      <c r="B136" t="s">
        <v>12</v>
      </c>
      <c r="C136" t="s">
        <v>16</v>
      </c>
      <c r="D136" t="s">
        <v>26</v>
      </c>
      <c r="E136">
        <v>4</v>
      </c>
      <c r="F136" s="7">
        <v>2343.7399999999998</v>
      </c>
      <c r="G136" s="7">
        <v>9374.9599999999991</v>
      </c>
      <c r="H136" s="7">
        <v>1652.21</v>
      </c>
      <c r="I136" s="7">
        <f t="shared" si="2"/>
        <v>7722.7499999999991</v>
      </c>
    </row>
    <row r="137" spans="1:9" x14ac:dyDescent="0.35">
      <c r="A137" s="3">
        <v>45341</v>
      </c>
      <c r="B137" t="s">
        <v>10</v>
      </c>
      <c r="C137" t="s">
        <v>14</v>
      </c>
      <c r="D137" t="s">
        <v>18</v>
      </c>
      <c r="E137">
        <v>7</v>
      </c>
      <c r="F137" s="7">
        <v>1179.75</v>
      </c>
      <c r="G137" s="7">
        <v>8258.25</v>
      </c>
      <c r="H137" s="7">
        <v>1801.6</v>
      </c>
      <c r="I137" s="7">
        <f t="shared" si="2"/>
        <v>6456.65</v>
      </c>
    </row>
    <row r="138" spans="1:9" x14ac:dyDescent="0.35">
      <c r="A138" s="3">
        <v>45342</v>
      </c>
      <c r="B138" t="s">
        <v>12</v>
      </c>
      <c r="C138" t="s">
        <v>15</v>
      </c>
      <c r="D138" t="s">
        <v>23</v>
      </c>
      <c r="E138">
        <v>10</v>
      </c>
      <c r="F138" s="7">
        <v>1659.85</v>
      </c>
      <c r="G138" s="7">
        <v>16598.5</v>
      </c>
      <c r="H138" s="7">
        <v>3302.95</v>
      </c>
      <c r="I138" s="7">
        <f t="shared" si="2"/>
        <v>13295.55</v>
      </c>
    </row>
    <row r="139" spans="1:9" x14ac:dyDescent="0.35">
      <c r="A139" s="3">
        <v>45343</v>
      </c>
      <c r="B139" t="s">
        <v>11</v>
      </c>
      <c r="C139" t="s">
        <v>17</v>
      </c>
      <c r="D139" t="s">
        <v>27</v>
      </c>
      <c r="E139">
        <v>6</v>
      </c>
      <c r="F139" s="7">
        <v>1603.83</v>
      </c>
      <c r="G139" s="7">
        <v>9622.98</v>
      </c>
      <c r="H139" s="7">
        <v>1746.71</v>
      </c>
      <c r="I139" s="7">
        <f t="shared" si="2"/>
        <v>7876.2699999999995</v>
      </c>
    </row>
    <row r="140" spans="1:9" x14ac:dyDescent="0.35">
      <c r="A140" s="3">
        <v>45343</v>
      </c>
      <c r="B140" t="s">
        <v>11</v>
      </c>
      <c r="C140" t="s">
        <v>15</v>
      </c>
      <c r="D140" t="s">
        <v>24</v>
      </c>
      <c r="E140">
        <v>4</v>
      </c>
      <c r="F140" s="7">
        <v>1643.6</v>
      </c>
      <c r="G140" s="7">
        <v>6574.4</v>
      </c>
      <c r="H140" s="7">
        <v>887.77</v>
      </c>
      <c r="I140" s="7">
        <f t="shared" si="2"/>
        <v>5686.6299999999992</v>
      </c>
    </row>
    <row r="141" spans="1:9" x14ac:dyDescent="0.35">
      <c r="A141" s="3">
        <v>45343</v>
      </c>
      <c r="B141" t="s">
        <v>11</v>
      </c>
      <c r="C141" t="s">
        <v>14</v>
      </c>
      <c r="D141" t="s">
        <v>18</v>
      </c>
      <c r="E141">
        <v>8</v>
      </c>
      <c r="F141" s="7">
        <v>1910.46</v>
      </c>
      <c r="G141" s="7">
        <v>15283.68</v>
      </c>
      <c r="H141" s="7">
        <v>3388.57</v>
      </c>
      <c r="I141" s="7">
        <f t="shared" si="2"/>
        <v>11895.11</v>
      </c>
    </row>
    <row r="142" spans="1:9" x14ac:dyDescent="0.35">
      <c r="A142" s="3">
        <v>45343</v>
      </c>
      <c r="B142" t="s">
        <v>10</v>
      </c>
      <c r="C142" t="s">
        <v>16</v>
      </c>
      <c r="D142" t="s">
        <v>26</v>
      </c>
      <c r="E142">
        <v>1</v>
      </c>
      <c r="F142" s="7">
        <v>752.49</v>
      </c>
      <c r="G142" s="7">
        <v>752.49</v>
      </c>
      <c r="H142" s="7">
        <v>184.21</v>
      </c>
      <c r="I142" s="7">
        <f t="shared" si="2"/>
        <v>568.28</v>
      </c>
    </row>
    <row r="143" spans="1:9" x14ac:dyDescent="0.35">
      <c r="A143" s="3">
        <v>45344</v>
      </c>
      <c r="B143" t="s">
        <v>12</v>
      </c>
      <c r="C143" t="s">
        <v>17</v>
      </c>
      <c r="D143" t="s">
        <v>28</v>
      </c>
      <c r="E143">
        <v>9</v>
      </c>
      <c r="F143" s="7">
        <v>2320.88</v>
      </c>
      <c r="G143" s="7">
        <v>20887.919999999998</v>
      </c>
      <c r="H143" s="7">
        <v>2136.88</v>
      </c>
      <c r="I143" s="7">
        <f t="shared" si="2"/>
        <v>18751.039999999997</v>
      </c>
    </row>
    <row r="144" spans="1:9" x14ac:dyDescent="0.35">
      <c r="A144" s="3">
        <v>45345</v>
      </c>
      <c r="B144" t="s">
        <v>9</v>
      </c>
      <c r="C144" t="s">
        <v>16</v>
      </c>
      <c r="D144" t="s">
        <v>29</v>
      </c>
      <c r="E144">
        <v>8</v>
      </c>
      <c r="F144" s="7">
        <v>2063.0500000000002</v>
      </c>
      <c r="G144" s="7">
        <v>16504.400000000001</v>
      </c>
      <c r="H144" s="7">
        <v>2306.5500000000002</v>
      </c>
      <c r="I144" s="7">
        <f t="shared" si="2"/>
        <v>14197.850000000002</v>
      </c>
    </row>
    <row r="145" spans="1:9" x14ac:dyDescent="0.35">
      <c r="A145" s="3">
        <v>45345</v>
      </c>
      <c r="B145" t="s">
        <v>11</v>
      </c>
      <c r="C145" t="s">
        <v>17</v>
      </c>
      <c r="D145" t="s">
        <v>28</v>
      </c>
      <c r="E145">
        <v>6</v>
      </c>
      <c r="F145" s="7">
        <v>2204.6799999999998</v>
      </c>
      <c r="G145" s="7">
        <v>13228.08</v>
      </c>
      <c r="H145" s="7">
        <v>3027.93</v>
      </c>
      <c r="I145" s="7">
        <f t="shared" si="2"/>
        <v>10200.15</v>
      </c>
    </row>
    <row r="146" spans="1:9" x14ac:dyDescent="0.35">
      <c r="A146" s="3">
        <v>45345</v>
      </c>
      <c r="B146" t="s">
        <v>8</v>
      </c>
      <c r="C146" t="s">
        <v>15</v>
      </c>
      <c r="D146" t="s">
        <v>30</v>
      </c>
      <c r="E146">
        <v>9</v>
      </c>
      <c r="F146" s="7">
        <v>571.79999999999995</v>
      </c>
      <c r="G146" s="7">
        <v>5146.2</v>
      </c>
      <c r="H146" s="7">
        <v>567.44000000000005</v>
      </c>
      <c r="I146" s="7">
        <f t="shared" si="2"/>
        <v>4578.76</v>
      </c>
    </row>
    <row r="147" spans="1:9" x14ac:dyDescent="0.35">
      <c r="A147" s="3">
        <v>45345</v>
      </c>
      <c r="B147" t="s">
        <v>8</v>
      </c>
      <c r="C147" t="s">
        <v>15</v>
      </c>
      <c r="D147" t="s">
        <v>24</v>
      </c>
      <c r="E147">
        <v>2</v>
      </c>
      <c r="F147" s="7">
        <v>1367.94</v>
      </c>
      <c r="G147" s="7">
        <v>2735.88</v>
      </c>
      <c r="H147" s="7">
        <v>313.99</v>
      </c>
      <c r="I147" s="7">
        <f t="shared" si="2"/>
        <v>2421.8900000000003</v>
      </c>
    </row>
    <row r="148" spans="1:9" x14ac:dyDescent="0.35">
      <c r="A148" s="3">
        <v>45346</v>
      </c>
      <c r="B148" t="s">
        <v>13</v>
      </c>
      <c r="C148" t="s">
        <v>17</v>
      </c>
      <c r="D148" t="s">
        <v>28</v>
      </c>
      <c r="E148">
        <v>5</v>
      </c>
      <c r="F148" s="7">
        <v>2306.85</v>
      </c>
      <c r="G148" s="7">
        <v>11534.25</v>
      </c>
      <c r="H148" s="7">
        <v>1233</v>
      </c>
      <c r="I148" s="7">
        <f t="shared" si="2"/>
        <v>10301.25</v>
      </c>
    </row>
    <row r="149" spans="1:9" x14ac:dyDescent="0.35">
      <c r="A149" s="3">
        <v>45347</v>
      </c>
      <c r="B149" t="s">
        <v>9</v>
      </c>
      <c r="C149" t="s">
        <v>15</v>
      </c>
      <c r="D149" t="s">
        <v>23</v>
      </c>
      <c r="E149">
        <v>7</v>
      </c>
      <c r="F149" s="7">
        <v>791.14</v>
      </c>
      <c r="G149" s="7">
        <v>5537.98</v>
      </c>
      <c r="H149" s="7">
        <v>995.04</v>
      </c>
      <c r="I149" s="7">
        <f t="shared" si="2"/>
        <v>4542.9399999999996</v>
      </c>
    </row>
    <row r="150" spans="1:9" x14ac:dyDescent="0.35">
      <c r="A150" s="3">
        <v>45347</v>
      </c>
      <c r="B150" t="s">
        <v>9</v>
      </c>
      <c r="C150" t="s">
        <v>16</v>
      </c>
      <c r="D150" t="s">
        <v>29</v>
      </c>
      <c r="E150">
        <v>3</v>
      </c>
      <c r="F150" s="7">
        <v>657.94</v>
      </c>
      <c r="G150" s="7">
        <v>1973.82</v>
      </c>
      <c r="H150" s="7">
        <v>455.21</v>
      </c>
      <c r="I150" s="7">
        <f t="shared" si="2"/>
        <v>1518.61</v>
      </c>
    </row>
    <row r="151" spans="1:9" x14ac:dyDescent="0.35">
      <c r="A151" s="3">
        <v>45347</v>
      </c>
      <c r="B151" t="s">
        <v>10</v>
      </c>
      <c r="C151" t="s">
        <v>16</v>
      </c>
      <c r="D151" t="s">
        <v>26</v>
      </c>
      <c r="E151">
        <v>10</v>
      </c>
      <c r="F151" s="7">
        <v>786.24</v>
      </c>
      <c r="G151" s="7">
        <v>7862.4</v>
      </c>
      <c r="H151" s="7">
        <v>1330.1</v>
      </c>
      <c r="I151" s="7">
        <f t="shared" si="2"/>
        <v>6532.2999999999993</v>
      </c>
    </row>
    <row r="152" spans="1:9" x14ac:dyDescent="0.35">
      <c r="A152" s="3">
        <v>45348</v>
      </c>
      <c r="B152" t="s">
        <v>12</v>
      </c>
      <c r="C152" t="s">
        <v>15</v>
      </c>
      <c r="D152" t="s">
        <v>22</v>
      </c>
      <c r="E152">
        <v>8</v>
      </c>
      <c r="F152" s="7">
        <v>2302.42</v>
      </c>
      <c r="G152" s="7">
        <v>18419.36</v>
      </c>
      <c r="H152" s="7">
        <v>3714.11</v>
      </c>
      <c r="I152" s="7">
        <f t="shared" si="2"/>
        <v>14705.25</v>
      </c>
    </row>
    <row r="153" spans="1:9" x14ac:dyDescent="0.35">
      <c r="A153" s="3">
        <v>45348</v>
      </c>
      <c r="B153" t="s">
        <v>11</v>
      </c>
      <c r="C153" t="s">
        <v>14</v>
      </c>
      <c r="D153" t="s">
        <v>19</v>
      </c>
      <c r="E153">
        <v>6</v>
      </c>
      <c r="F153" s="7">
        <v>2475.3000000000002</v>
      </c>
      <c r="G153" s="7">
        <v>14851.8</v>
      </c>
      <c r="H153" s="7">
        <v>2151.63</v>
      </c>
      <c r="I153" s="7">
        <f t="shared" si="2"/>
        <v>12700.169999999998</v>
      </c>
    </row>
    <row r="154" spans="1:9" x14ac:dyDescent="0.35">
      <c r="A154" s="3">
        <v>45348</v>
      </c>
      <c r="B154" t="s">
        <v>11</v>
      </c>
      <c r="C154" t="s">
        <v>15</v>
      </c>
      <c r="D154" t="s">
        <v>30</v>
      </c>
      <c r="E154">
        <v>5</v>
      </c>
      <c r="F154" s="7">
        <v>898.43</v>
      </c>
      <c r="G154" s="7">
        <v>4492.1499999999996</v>
      </c>
      <c r="H154" s="7">
        <v>708.43</v>
      </c>
      <c r="I154" s="7">
        <f t="shared" si="2"/>
        <v>3783.72</v>
      </c>
    </row>
    <row r="155" spans="1:9" x14ac:dyDescent="0.35">
      <c r="A155" s="3">
        <v>45348</v>
      </c>
      <c r="B155" t="s">
        <v>8</v>
      </c>
      <c r="C155" t="s">
        <v>14</v>
      </c>
      <c r="D155" t="s">
        <v>20</v>
      </c>
      <c r="E155">
        <v>7</v>
      </c>
      <c r="F155" s="7">
        <v>1643.85</v>
      </c>
      <c r="G155" s="7">
        <v>11506.95</v>
      </c>
      <c r="H155" s="7">
        <v>2142.84</v>
      </c>
      <c r="I155" s="7">
        <f t="shared" si="2"/>
        <v>9364.11</v>
      </c>
    </row>
    <row r="156" spans="1:9" x14ac:dyDescent="0.35">
      <c r="A156" s="3">
        <v>45349</v>
      </c>
      <c r="B156" t="s">
        <v>8</v>
      </c>
      <c r="C156" t="s">
        <v>14</v>
      </c>
      <c r="D156" t="s">
        <v>19</v>
      </c>
      <c r="E156">
        <v>5</v>
      </c>
      <c r="F156" s="7">
        <v>516.20000000000005</v>
      </c>
      <c r="G156" s="7">
        <v>2581</v>
      </c>
      <c r="H156" s="7">
        <v>593.01</v>
      </c>
      <c r="I156" s="7">
        <f t="shared" si="2"/>
        <v>1987.99</v>
      </c>
    </row>
    <row r="157" spans="1:9" x14ac:dyDescent="0.35">
      <c r="A157" s="3">
        <v>45349</v>
      </c>
      <c r="B157" t="s">
        <v>10</v>
      </c>
      <c r="C157" t="s">
        <v>14</v>
      </c>
      <c r="D157" t="s">
        <v>19</v>
      </c>
      <c r="E157">
        <v>5</v>
      </c>
      <c r="F157" s="7">
        <v>2051.48</v>
      </c>
      <c r="G157" s="7">
        <v>10257.4</v>
      </c>
      <c r="H157" s="7">
        <v>1379.8</v>
      </c>
      <c r="I157" s="7">
        <f t="shared" si="2"/>
        <v>8877.6</v>
      </c>
    </row>
    <row r="158" spans="1:9" x14ac:dyDescent="0.35">
      <c r="A158" s="3">
        <v>45349</v>
      </c>
      <c r="B158" t="s">
        <v>8</v>
      </c>
      <c r="C158" t="s">
        <v>16</v>
      </c>
      <c r="D158" t="s">
        <v>25</v>
      </c>
      <c r="E158">
        <v>4</v>
      </c>
      <c r="F158" s="7">
        <v>1741.78</v>
      </c>
      <c r="G158" s="7">
        <v>6967.12</v>
      </c>
      <c r="H158" s="7">
        <v>1405.02</v>
      </c>
      <c r="I158" s="7">
        <f t="shared" si="2"/>
        <v>5562.1</v>
      </c>
    </row>
    <row r="159" spans="1:9" x14ac:dyDescent="0.35">
      <c r="A159" s="3">
        <v>45350</v>
      </c>
      <c r="B159" t="s">
        <v>10</v>
      </c>
      <c r="C159" t="s">
        <v>14</v>
      </c>
      <c r="D159" t="s">
        <v>21</v>
      </c>
      <c r="E159">
        <v>5</v>
      </c>
      <c r="F159" s="7">
        <v>2077.2199999999998</v>
      </c>
      <c r="G159" s="7">
        <v>10386.1</v>
      </c>
      <c r="H159" s="7">
        <v>1090.5899999999999</v>
      </c>
      <c r="I159" s="7">
        <f t="shared" si="2"/>
        <v>9295.51</v>
      </c>
    </row>
    <row r="160" spans="1:9" x14ac:dyDescent="0.35">
      <c r="A160" s="3">
        <v>45350</v>
      </c>
      <c r="B160" t="s">
        <v>12</v>
      </c>
      <c r="C160" t="s">
        <v>16</v>
      </c>
      <c r="D160" t="s">
        <v>29</v>
      </c>
      <c r="E160">
        <v>5</v>
      </c>
      <c r="F160" s="7">
        <v>1153.44</v>
      </c>
      <c r="G160" s="7">
        <v>5767.2</v>
      </c>
      <c r="H160" s="7">
        <v>936.16</v>
      </c>
      <c r="I160" s="7">
        <f t="shared" si="2"/>
        <v>4831.04</v>
      </c>
    </row>
    <row r="161" spans="1:9" x14ac:dyDescent="0.35">
      <c r="A161" s="3">
        <v>45351</v>
      </c>
      <c r="B161" t="s">
        <v>11</v>
      </c>
      <c r="C161" t="s">
        <v>15</v>
      </c>
      <c r="D161" t="s">
        <v>23</v>
      </c>
      <c r="E161">
        <v>3</v>
      </c>
      <c r="F161" s="7">
        <v>1013.94</v>
      </c>
      <c r="G161" s="7">
        <v>3041.82</v>
      </c>
      <c r="H161" s="7">
        <v>680.47</v>
      </c>
      <c r="I161" s="7">
        <f t="shared" si="2"/>
        <v>2361.3500000000004</v>
      </c>
    </row>
    <row r="162" spans="1:9" x14ac:dyDescent="0.35">
      <c r="A162" s="3">
        <v>45351</v>
      </c>
      <c r="B162" t="s">
        <v>12</v>
      </c>
      <c r="C162" t="s">
        <v>15</v>
      </c>
      <c r="D162" t="s">
        <v>23</v>
      </c>
      <c r="E162">
        <v>2</v>
      </c>
      <c r="F162" s="7">
        <v>1436.66</v>
      </c>
      <c r="G162" s="7">
        <v>2873.32</v>
      </c>
      <c r="H162" s="7">
        <v>319.79000000000002</v>
      </c>
      <c r="I162" s="7">
        <f t="shared" si="2"/>
        <v>2553.5300000000002</v>
      </c>
    </row>
    <row r="163" spans="1:9" x14ac:dyDescent="0.35">
      <c r="A163" s="3">
        <v>45352</v>
      </c>
      <c r="B163" t="s">
        <v>11</v>
      </c>
      <c r="C163" t="s">
        <v>15</v>
      </c>
      <c r="D163" t="s">
        <v>22</v>
      </c>
      <c r="E163">
        <v>7</v>
      </c>
      <c r="F163" s="7">
        <v>527.84</v>
      </c>
      <c r="G163" s="7">
        <v>3694.88</v>
      </c>
      <c r="H163" s="7">
        <v>666.87</v>
      </c>
      <c r="I163" s="7">
        <f t="shared" si="2"/>
        <v>3028.01</v>
      </c>
    </row>
    <row r="164" spans="1:9" x14ac:dyDescent="0.35">
      <c r="A164" s="3">
        <v>45352</v>
      </c>
      <c r="B164" t="s">
        <v>10</v>
      </c>
      <c r="C164" t="s">
        <v>15</v>
      </c>
      <c r="D164" t="s">
        <v>23</v>
      </c>
      <c r="E164">
        <v>10</v>
      </c>
      <c r="F164" s="7">
        <v>1262.05</v>
      </c>
      <c r="G164" s="7">
        <v>12620.5</v>
      </c>
      <c r="H164" s="7">
        <v>2470.87</v>
      </c>
      <c r="I164" s="7">
        <f t="shared" si="2"/>
        <v>10149.630000000001</v>
      </c>
    </row>
    <row r="165" spans="1:9" x14ac:dyDescent="0.35">
      <c r="A165" s="3">
        <v>45352</v>
      </c>
      <c r="B165" t="s">
        <v>9</v>
      </c>
      <c r="C165" t="s">
        <v>14</v>
      </c>
      <c r="D165" t="s">
        <v>20</v>
      </c>
      <c r="E165">
        <v>8</v>
      </c>
      <c r="F165" s="7">
        <v>550.04999999999995</v>
      </c>
      <c r="G165" s="7">
        <v>4400.3999999999996</v>
      </c>
      <c r="H165" s="7">
        <v>1023.69</v>
      </c>
      <c r="I165" s="7">
        <f t="shared" si="2"/>
        <v>3376.7099999999996</v>
      </c>
    </row>
    <row r="166" spans="1:9" x14ac:dyDescent="0.35">
      <c r="A166" s="3">
        <v>45352</v>
      </c>
      <c r="B166" t="s">
        <v>8</v>
      </c>
      <c r="C166" t="s">
        <v>15</v>
      </c>
      <c r="D166" t="s">
        <v>24</v>
      </c>
      <c r="E166">
        <v>2</v>
      </c>
      <c r="F166" s="7">
        <v>1770.81</v>
      </c>
      <c r="G166" s="7">
        <v>3541.62</v>
      </c>
      <c r="H166" s="7">
        <v>600.79999999999995</v>
      </c>
      <c r="I166" s="7">
        <f t="shared" si="2"/>
        <v>2940.8199999999997</v>
      </c>
    </row>
    <row r="167" spans="1:9" x14ac:dyDescent="0.35">
      <c r="A167" s="3">
        <v>45353</v>
      </c>
      <c r="B167" t="s">
        <v>11</v>
      </c>
      <c r="C167" t="s">
        <v>17</v>
      </c>
      <c r="D167" t="s">
        <v>28</v>
      </c>
      <c r="E167">
        <v>3</v>
      </c>
      <c r="F167" s="7">
        <v>590.69000000000005</v>
      </c>
      <c r="G167" s="7">
        <v>1772.07</v>
      </c>
      <c r="H167" s="7">
        <v>187.1</v>
      </c>
      <c r="I167" s="7">
        <f t="shared" si="2"/>
        <v>1584.97</v>
      </c>
    </row>
    <row r="168" spans="1:9" x14ac:dyDescent="0.35">
      <c r="A168" s="3">
        <v>45353</v>
      </c>
      <c r="B168" t="s">
        <v>11</v>
      </c>
      <c r="C168" t="s">
        <v>14</v>
      </c>
      <c r="D168" t="s">
        <v>21</v>
      </c>
      <c r="E168">
        <v>4</v>
      </c>
      <c r="F168" s="7">
        <v>2274.52</v>
      </c>
      <c r="G168" s="7">
        <v>9098.08</v>
      </c>
      <c r="H168" s="7">
        <v>1094.95</v>
      </c>
      <c r="I168" s="7">
        <f t="shared" si="2"/>
        <v>8003.13</v>
      </c>
    </row>
    <row r="169" spans="1:9" x14ac:dyDescent="0.35">
      <c r="A169" s="3">
        <v>45353</v>
      </c>
      <c r="B169" t="s">
        <v>11</v>
      </c>
      <c r="C169" t="s">
        <v>15</v>
      </c>
      <c r="D169" t="s">
        <v>30</v>
      </c>
      <c r="E169">
        <v>10</v>
      </c>
      <c r="F169" s="7">
        <v>1984.54</v>
      </c>
      <c r="G169" s="7">
        <v>19845.400000000001</v>
      </c>
      <c r="H169" s="7">
        <v>2444.5300000000002</v>
      </c>
      <c r="I169" s="7">
        <f t="shared" si="2"/>
        <v>17400.870000000003</v>
      </c>
    </row>
    <row r="170" spans="1:9" x14ac:dyDescent="0.35">
      <c r="A170" s="3">
        <v>45354</v>
      </c>
      <c r="B170" t="s">
        <v>11</v>
      </c>
      <c r="C170" t="s">
        <v>17</v>
      </c>
      <c r="D170" t="s">
        <v>27</v>
      </c>
      <c r="E170">
        <v>5</v>
      </c>
      <c r="F170" s="7">
        <v>565.42999999999995</v>
      </c>
      <c r="G170" s="7">
        <v>2827.15</v>
      </c>
      <c r="H170" s="7">
        <v>439.85</v>
      </c>
      <c r="I170" s="7">
        <f t="shared" si="2"/>
        <v>2387.3000000000002</v>
      </c>
    </row>
    <row r="171" spans="1:9" x14ac:dyDescent="0.35">
      <c r="A171" s="3">
        <v>45355</v>
      </c>
      <c r="B171" t="s">
        <v>8</v>
      </c>
      <c r="C171" t="s">
        <v>16</v>
      </c>
      <c r="D171" t="s">
        <v>26</v>
      </c>
      <c r="E171">
        <v>2</v>
      </c>
      <c r="F171" s="7">
        <v>2461.86</v>
      </c>
      <c r="G171" s="7">
        <v>4923.72</v>
      </c>
      <c r="H171" s="7">
        <v>763.67</v>
      </c>
      <c r="I171" s="7">
        <f t="shared" si="2"/>
        <v>4160.05</v>
      </c>
    </row>
    <row r="172" spans="1:9" x14ac:dyDescent="0.35">
      <c r="A172" s="3">
        <v>45355</v>
      </c>
      <c r="B172" t="s">
        <v>11</v>
      </c>
      <c r="C172" t="s">
        <v>15</v>
      </c>
      <c r="D172" t="s">
        <v>22</v>
      </c>
      <c r="E172">
        <v>7</v>
      </c>
      <c r="F172" s="7">
        <v>1051.76</v>
      </c>
      <c r="G172" s="7">
        <v>7362.32</v>
      </c>
      <c r="H172" s="7">
        <v>1805.47</v>
      </c>
      <c r="I172" s="7">
        <f t="shared" si="2"/>
        <v>5556.8499999999995</v>
      </c>
    </row>
    <row r="173" spans="1:9" x14ac:dyDescent="0.35">
      <c r="A173" s="3">
        <v>45355</v>
      </c>
      <c r="B173" t="s">
        <v>10</v>
      </c>
      <c r="C173" t="s">
        <v>14</v>
      </c>
      <c r="D173" t="s">
        <v>20</v>
      </c>
      <c r="E173">
        <v>10</v>
      </c>
      <c r="F173" s="7">
        <v>2442.19</v>
      </c>
      <c r="G173" s="7">
        <v>24421.9</v>
      </c>
      <c r="H173" s="7">
        <v>2627.47</v>
      </c>
      <c r="I173" s="7">
        <f t="shared" si="2"/>
        <v>21794.43</v>
      </c>
    </row>
    <row r="174" spans="1:9" x14ac:dyDescent="0.35">
      <c r="A174" s="3">
        <v>45355</v>
      </c>
      <c r="B174" t="s">
        <v>9</v>
      </c>
      <c r="C174" t="s">
        <v>16</v>
      </c>
      <c r="D174" t="s">
        <v>29</v>
      </c>
      <c r="E174">
        <v>10</v>
      </c>
      <c r="F174" s="7">
        <v>910.41</v>
      </c>
      <c r="G174" s="7">
        <v>9104.1</v>
      </c>
      <c r="H174" s="7">
        <v>2043.62</v>
      </c>
      <c r="I174" s="7">
        <f t="shared" si="2"/>
        <v>7060.4800000000005</v>
      </c>
    </row>
    <row r="175" spans="1:9" x14ac:dyDescent="0.35">
      <c r="A175" s="3">
        <v>45356</v>
      </c>
      <c r="B175" t="s">
        <v>9</v>
      </c>
      <c r="C175" t="s">
        <v>16</v>
      </c>
      <c r="D175" t="s">
        <v>29</v>
      </c>
      <c r="E175">
        <v>6</v>
      </c>
      <c r="F175" s="7">
        <v>2048.7399999999998</v>
      </c>
      <c r="G175" s="7">
        <v>12292.44</v>
      </c>
      <c r="H175" s="7">
        <v>2683.4</v>
      </c>
      <c r="I175" s="7">
        <f t="shared" si="2"/>
        <v>9609.0400000000009</v>
      </c>
    </row>
    <row r="176" spans="1:9" x14ac:dyDescent="0.35">
      <c r="A176" s="3">
        <v>45356</v>
      </c>
      <c r="B176" t="s">
        <v>12</v>
      </c>
      <c r="C176" t="s">
        <v>14</v>
      </c>
      <c r="D176" t="s">
        <v>18</v>
      </c>
      <c r="E176">
        <v>3</v>
      </c>
      <c r="F176" s="7">
        <v>2475.0500000000002</v>
      </c>
      <c r="G176" s="7">
        <v>7425.15</v>
      </c>
      <c r="H176" s="7">
        <v>1344.19</v>
      </c>
      <c r="I176" s="7">
        <f t="shared" si="2"/>
        <v>6080.9599999999991</v>
      </c>
    </row>
    <row r="177" spans="1:9" x14ac:dyDescent="0.35">
      <c r="A177" s="3">
        <v>45357</v>
      </c>
      <c r="B177" t="s">
        <v>9</v>
      </c>
      <c r="C177" t="s">
        <v>14</v>
      </c>
      <c r="D177" t="s">
        <v>20</v>
      </c>
      <c r="E177">
        <v>1</v>
      </c>
      <c r="F177" s="7">
        <v>1216.48</v>
      </c>
      <c r="G177" s="7">
        <v>1216.48</v>
      </c>
      <c r="H177" s="7">
        <v>265.51</v>
      </c>
      <c r="I177" s="7">
        <f t="shared" si="2"/>
        <v>950.97</v>
      </c>
    </row>
    <row r="178" spans="1:9" x14ac:dyDescent="0.35">
      <c r="A178" s="3">
        <v>45358</v>
      </c>
      <c r="B178" t="s">
        <v>9</v>
      </c>
      <c r="C178" t="s">
        <v>14</v>
      </c>
      <c r="D178" t="s">
        <v>20</v>
      </c>
      <c r="E178">
        <v>5</v>
      </c>
      <c r="F178" s="7">
        <v>604.79999999999995</v>
      </c>
      <c r="G178" s="7">
        <v>3024</v>
      </c>
      <c r="H178" s="7">
        <v>638.84</v>
      </c>
      <c r="I178" s="7">
        <f t="shared" si="2"/>
        <v>2385.16</v>
      </c>
    </row>
    <row r="179" spans="1:9" x14ac:dyDescent="0.35">
      <c r="A179" s="3">
        <v>45358</v>
      </c>
      <c r="B179" t="s">
        <v>9</v>
      </c>
      <c r="C179" t="s">
        <v>14</v>
      </c>
      <c r="D179" t="s">
        <v>21</v>
      </c>
      <c r="E179">
        <v>8</v>
      </c>
      <c r="F179" s="7">
        <v>1396.55</v>
      </c>
      <c r="G179" s="7">
        <v>11172.4</v>
      </c>
      <c r="H179" s="7">
        <v>1723.97</v>
      </c>
      <c r="I179" s="7">
        <f t="shared" si="2"/>
        <v>9448.43</v>
      </c>
    </row>
    <row r="180" spans="1:9" x14ac:dyDescent="0.35">
      <c r="A180" s="3">
        <v>45358</v>
      </c>
      <c r="B180" t="s">
        <v>8</v>
      </c>
      <c r="C180" t="s">
        <v>14</v>
      </c>
      <c r="D180" t="s">
        <v>19</v>
      </c>
      <c r="E180">
        <v>9</v>
      </c>
      <c r="F180" s="7">
        <v>943.1</v>
      </c>
      <c r="G180" s="7">
        <v>8487.9</v>
      </c>
      <c r="H180" s="7">
        <v>1631.93</v>
      </c>
      <c r="I180" s="7">
        <f t="shared" si="2"/>
        <v>6855.9699999999993</v>
      </c>
    </row>
    <row r="181" spans="1:9" x14ac:dyDescent="0.35">
      <c r="A181" s="3">
        <v>45359</v>
      </c>
      <c r="B181" t="s">
        <v>11</v>
      </c>
      <c r="C181" t="s">
        <v>15</v>
      </c>
      <c r="D181" t="s">
        <v>30</v>
      </c>
      <c r="E181">
        <v>1</v>
      </c>
      <c r="F181" s="7">
        <v>621.65</v>
      </c>
      <c r="G181" s="7">
        <v>621.65</v>
      </c>
      <c r="H181" s="7">
        <v>106.83</v>
      </c>
      <c r="I181" s="7">
        <f t="shared" si="2"/>
        <v>514.81999999999994</v>
      </c>
    </row>
    <row r="182" spans="1:9" x14ac:dyDescent="0.35">
      <c r="A182" s="3">
        <v>45359</v>
      </c>
      <c r="B182" t="s">
        <v>13</v>
      </c>
      <c r="C182" t="s">
        <v>17</v>
      </c>
      <c r="D182" t="s">
        <v>28</v>
      </c>
      <c r="E182">
        <v>8</v>
      </c>
      <c r="F182" s="7">
        <v>1924.8</v>
      </c>
      <c r="G182" s="7">
        <v>15398.4</v>
      </c>
      <c r="H182" s="7">
        <v>2564.36</v>
      </c>
      <c r="I182" s="7">
        <f t="shared" si="2"/>
        <v>12834.039999999999</v>
      </c>
    </row>
    <row r="183" spans="1:9" x14ac:dyDescent="0.35">
      <c r="A183" s="3">
        <v>45359</v>
      </c>
      <c r="B183" t="s">
        <v>9</v>
      </c>
      <c r="C183" t="s">
        <v>15</v>
      </c>
      <c r="D183" t="s">
        <v>24</v>
      </c>
      <c r="E183">
        <v>2</v>
      </c>
      <c r="F183" s="7">
        <v>752.38</v>
      </c>
      <c r="G183" s="7">
        <v>1504.76</v>
      </c>
      <c r="H183" s="7">
        <v>291.39</v>
      </c>
      <c r="I183" s="7">
        <f t="shared" si="2"/>
        <v>1213.3699999999999</v>
      </c>
    </row>
    <row r="184" spans="1:9" x14ac:dyDescent="0.35">
      <c r="A184" s="3">
        <v>45359</v>
      </c>
      <c r="B184" t="s">
        <v>9</v>
      </c>
      <c r="C184" t="s">
        <v>15</v>
      </c>
      <c r="D184" t="s">
        <v>30</v>
      </c>
      <c r="E184">
        <v>10</v>
      </c>
      <c r="F184" s="7">
        <v>1561.11</v>
      </c>
      <c r="G184" s="7">
        <v>15611.1</v>
      </c>
      <c r="H184" s="7">
        <v>2623.56</v>
      </c>
      <c r="I184" s="7">
        <f t="shared" si="2"/>
        <v>12987.54</v>
      </c>
    </row>
    <row r="185" spans="1:9" x14ac:dyDescent="0.35">
      <c r="A185" s="3">
        <v>45359</v>
      </c>
      <c r="B185" t="s">
        <v>9</v>
      </c>
      <c r="C185" t="s">
        <v>17</v>
      </c>
      <c r="D185" t="s">
        <v>28</v>
      </c>
      <c r="E185">
        <v>2</v>
      </c>
      <c r="F185" s="7">
        <v>2205.59</v>
      </c>
      <c r="G185" s="7">
        <v>4411.18</v>
      </c>
      <c r="H185" s="7">
        <v>871.81</v>
      </c>
      <c r="I185" s="7">
        <f t="shared" si="2"/>
        <v>3539.3700000000003</v>
      </c>
    </row>
    <row r="186" spans="1:9" x14ac:dyDescent="0.35">
      <c r="A186" s="3">
        <v>45360</v>
      </c>
      <c r="B186" t="s">
        <v>11</v>
      </c>
      <c r="C186" t="s">
        <v>17</v>
      </c>
      <c r="D186" t="s">
        <v>27</v>
      </c>
      <c r="E186">
        <v>4</v>
      </c>
      <c r="F186" s="7">
        <v>1327.63</v>
      </c>
      <c r="G186" s="7">
        <v>5310.52</v>
      </c>
      <c r="H186" s="7">
        <v>1190.1600000000001</v>
      </c>
      <c r="I186" s="7">
        <f t="shared" si="2"/>
        <v>4120.3600000000006</v>
      </c>
    </row>
    <row r="187" spans="1:9" x14ac:dyDescent="0.35">
      <c r="A187" s="3">
        <v>45360</v>
      </c>
      <c r="B187" t="s">
        <v>10</v>
      </c>
      <c r="C187" t="s">
        <v>17</v>
      </c>
      <c r="D187" t="s">
        <v>28</v>
      </c>
      <c r="E187">
        <v>6</v>
      </c>
      <c r="F187" s="7">
        <v>1353.53</v>
      </c>
      <c r="G187" s="7">
        <v>8121.18</v>
      </c>
      <c r="H187" s="7">
        <v>1622.34</v>
      </c>
      <c r="I187" s="7">
        <f t="shared" si="2"/>
        <v>6498.84</v>
      </c>
    </row>
    <row r="188" spans="1:9" x14ac:dyDescent="0.35">
      <c r="A188" s="3">
        <v>45361</v>
      </c>
      <c r="B188" t="s">
        <v>13</v>
      </c>
      <c r="C188" t="s">
        <v>17</v>
      </c>
      <c r="D188" t="s">
        <v>28</v>
      </c>
      <c r="E188">
        <v>2</v>
      </c>
      <c r="F188" s="7">
        <v>2163.54</v>
      </c>
      <c r="G188" s="7">
        <v>4327.08</v>
      </c>
      <c r="H188" s="7">
        <v>493.22</v>
      </c>
      <c r="I188" s="7">
        <f t="shared" si="2"/>
        <v>3833.8599999999997</v>
      </c>
    </row>
    <row r="189" spans="1:9" x14ac:dyDescent="0.35">
      <c r="A189" s="3">
        <v>45361</v>
      </c>
      <c r="B189" t="s">
        <v>9</v>
      </c>
      <c r="C189" t="s">
        <v>15</v>
      </c>
      <c r="D189" t="s">
        <v>24</v>
      </c>
      <c r="E189">
        <v>9</v>
      </c>
      <c r="F189" s="7">
        <v>619.96</v>
      </c>
      <c r="G189" s="7">
        <v>5579.64</v>
      </c>
      <c r="H189" s="7">
        <v>1358.61</v>
      </c>
      <c r="I189" s="7">
        <f t="shared" si="2"/>
        <v>4221.0300000000007</v>
      </c>
    </row>
    <row r="190" spans="1:9" x14ac:dyDescent="0.35">
      <c r="A190" s="3">
        <v>45362</v>
      </c>
      <c r="B190" t="s">
        <v>11</v>
      </c>
      <c r="C190" t="s">
        <v>14</v>
      </c>
      <c r="D190" t="s">
        <v>19</v>
      </c>
      <c r="E190">
        <v>6</v>
      </c>
      <c r="F190" s="7">
        <v>2247.21</v>
      </c>
      <c r="G190" s="7">
        <v>13483.26</v>
      </c>
      <c r="H190" s="7">
        <v>3251.75</v>
      </c>
      <c r="I190" s="7">
        <f t="shared" si="2"/>
        <v>10231.51</v>
      </c>
    </row>
    <row r="191" spans="1:9" x14ac:dyDescent="0.35">
      <c r="A191" s="3">
        <v>45362</v>
      </c>
      <c r="B191" t="s">
        <v>9</v>
      </c>
      <c r="C191" t="s">
        <v>14</v>
      </c>
      <c r="D191" t="s">
        <v>18</v>
      </c>
      <c r="E191">
        <v>10</v>
      </c>
      <c r="F191" s="7">
        <v>1124.9000000000001</v>
      </c>
      <c r="G191" s="7">
        <v>11249</v>
      </c>
      <c r="H191" s="7">
        <v>1299.71</v>
      </c>
      <c r="I191" s="7">
        <f t="shared" si="2"/>
        <v>9949.2900000000009</v>
      </c>
    </row>
    <row r="192" spans="1:9" x14ac:dyDescent="0.35">
      <c r="A192" s="3">
        <v>45362</v>
      </c>
      <c r="B192" t="s">
        <v>9</v>
      </c>
      <c r="C192" t="s">
        <v>16</v>
      </c>
      <c r="D192" t="s">
        <v>29</v>
      </c>
      <c r="E192">
        <v>8</v>
      </c>
      <c r="F192" s="7">
        <v>948.49</v>
      </c>
      <c r="G192" s="7">
        <v>7587.92</v>
      </c>
      <c r="H192" s="7">
        <v>881.96</v>
      </c>
      <c r="I192" s="7">
        <f t="shared" si="2"/>
        <v>6705.96</v>
      </c>
    </row>
    <row r="193" spans="1:9" x14ac:dyDescent="0.35">
      <c r="A193" s="3">
        <v>45363</v>
      </c>
      <c r="B193" t="s">
        <v>9</v>
      </c>
      <c r="C193" t="s">
        <v>14</v>
      </c>
      <c r="D193" t="s">
        <v>18</v>
      </c>
      <c r="E193">
        <v>10</v>
      </c>
      <c r="F193" s="7">
        <v>952.32</v>
      </c>
      <c r="G193" s="7">
        <v>9523.2000000000007</v>
      </c>
      <c r="H193" s="7">
        <v>1565.3</v>
      </c>
      <c r="I193" s="7">
        <f t="shared" si="2"/>
        <v>7957.9000000000005</v>
      </c>
    </row>
    <row r="194" spans="1:9" x14ac:dyDescent="0.35">
      <c r="A194" s="3">
        <v>45363</v>
      </c>
      <c r="B194" t="s">
        <v>10</v>
      </c>
      <c r="C194" t="s">
        <v>14</v>
      </c>
      <c r="D194" t="s">
        <v>18</v>
      </c>
      <c r="E194">
        <v>1</v>
      </c>
      <c r="F194" s="7">
        <v>860.83</v>
      </c>
      <c r="G194" s="7">
        <v>860.83</v>
      </c>
      <c r="H194" s="7">
        <v>176.82</v>
      </c>
      <c r="I194" s="7">
        <f t="shared" si="2"/>
        <v>684.01</v>
      </c>
    </row>
    <row r="195" spans="1:9" x14ac:dyDescent="0.35">
      <c r="A195" s="3">
        <v>45363</v>
      </c>
      <c r="B195" t="s">
        <v>8</v>
      </c>
      <c r="C195" t="s">
        <v>15</v>
      </c>
      <c r="D195" t="s">
        <v>23</v>
      </c>
      <c r="E195">
        <v>1</v>
      </c>
      <c r="F195" s="7">
        <v>862.81</v>
      </c>
      <c r="G195" s="7">
        <v>862.81</v>
      </c>
      <c r="H195" s="7">
        <v>104.82</v>
      </c>
      <c r="I195" s="7">
        <f t="shared" ref="I195:I258" si="3">G195-H195</f>
        <v>757.99</v>
      </c>
    </row>
    <row r="196" spans="1:9" x14ac:dyDescent="0.35">
      <c r="A196" s="3">
        <v>45364</v>
      </c>
      <c r="B196" t="s">
        <v>11</v>
      </c>
      <c r="C196" t="s">
        <v>14</v>
      </c>
      <c r="D196" t="s">
        <v>20</v>
      </c>
      <c r="E196">
        <v>1</v>
      </c>
      <c r="F196" s="7">
        <v>683.52</v>
      </c>
      <c r="G196" s="7">
        <v>683.52</v>
      </c>
      <c r="H196" s="7">
        <v>122.74</v>
      </c>
      <c r="I196" s="7">
        <f t="shared" si="3"/>
        <v>560.78</v>
      </c>
    </row>
    <row r="197" spans="1:9" x14ac:dyDescent="0.35">
      <c r="A197" s="3">
        <v>45364</v>
      </c>
      <c r="B197" t="s">
        <v>10</v>
      </c>
      <c r="C197" t="s">
        <v>17</v>
      </c>
      <c r="D197" t="s">
        <v>27</v>
      </c>
      <c r="E197">
        <v>6</v>
      </c>
      <c r="F197" s="7">
        <v>814.82</v>
      </c>
      <c r="G197" s="7">
        <v>4888.92</v>
      </c>
      <c r="H197" s="7">
        <v>717.43</v>
      </c>
      <c r="I197" s="7">
        <f t="shared" si="3"/>
        <v>4171.49</v>
      </c>
    </row>
    <row r="198" spans="1:9" x14ac:dyDescent="0.35">
      <c r="A198" s="3">
        <v>45364</v>
      </c>
      <c r="B198" t="s">
        <v>8</v>
      </c>
      <c r="C198" t="s">
        <v>14</v>
      </c>
      <c r="D198" t="s">
        <v>21</v>
      </c>
      <c r="E198">
        <v>3</v>
      </c>
      <c r="F198" s="7">
        <v>814.82</v>
      </c>
      <c r="G198" s="7">
        <v>2444.46</v>
      </c>
      <c r="H198" s="7">
        <v>470.99</v>
      </c>
      <c r="I198" s="7">
        <f t="shared" si="3"/>
        <v>1973.47</v>
      </c>
    </row>
    <row r="199" spans="1:9" x14ac:dyDescent="0.35">
      <c r="A199" s="3">
        <v>45364</v>
      </c>
      <c r="B199" t="s">
        <v>11</v>
      </c>
      <c r="C199" t="s">
        <v>14</v>
      </c>
      <c r="D199" t="s">
        <v>18</v>
      </c>
      <c r="E199">
        <v>8</v>
      </c>
      <c r="F199" s="7">
        <v>1823.88</v>
      </c>
      <c r="G199" s="7">
        <v>14591.04</v>
      </c>
      <c r="H199" s="7">
        <v>2522.0500000000002</v>
      </c>
      <c r="I199" s="7">
        <f t="shared" si="3"/>
        <v>12068.990000000002</v>
      </c>
    </row>
    <row r="200" spans="1:9" x14ac:dyDescent="0.35">
      <c r="A200" s="3">
        <v>45365</v>
      </c>
      <c r="B200" t="s">
        <v>10</v>
      </c>
      <c r="C200" t="s">
        <v>15</v>
      </c>
      <c r="D200" t="s">
        <v>24</v>
      </c>
      <c r="E200">
        <v>9</v>
      </c>
      <c r="F200" s="7">
        <v>727.64</v>
      </c>
      <c r="G200" s="7">
        <v>6548.76</v>
      </c>
      <c r="H200" s="7">
        <v>1077.19</v>
      </c>
      <c r="I200" s="7">
        <f t="shared" si="3"/>
        <v>5471.57</v>
      </c>
    </row>
    <row r="201" spans="1:9" x14ac:dyDescent="0.35">
      <c r="A201" s="3">
        <v>45365</v>
      </c>
      <c r="B201" t="s">
        <v>13</v>
      </c>
      <c r="C201" t="s">
        <v>17</v>
      </c>
      <c r="D201" t="s">
        <v>27</v>
      </c>
      <c r="E201">
        <v>1</v>
      </c>
      <c r="F201" s="7">
        <v>941.04</v>
      </c>
      <c r="G201" s="7">
        <v>941.04</v>
      </c>
      <c r="H201" s="7">
        <v>233.06</v>
      </c>
      <c r="I201" s="7">
        <f t="shared" si="3"/>
        <v>707.98</v>
      </c>
    </row>
    <row r="202" spans="1:9" x14ac:dyDescent="0.35">
      <c r="A202" s="3">
        <v>45365</v>
      </c>
      <c r="B202" t="s">
        <v>10</v>
      </c>
      <c r="C202" t="s">
        <v>14</v>
      </c>
      <c r="D202" t="s">
        <v>20</v>
      </c>
      <c r="E202">
        <v>5</v>
      </c>
      <c r="F202" s="7">
        <v>2390.65</v>
      </c>
      <c r="G202" s="7">
        <v>11953.25</v>
      </c>
      <c r="H202" s="7">
        <v>2571.17</v>
      </c>
      <c r="I202" s="7">
        <f t="shared" si="3"/>
        <v>9382.08</v>
      </c>
    </row>
    <row r="203" spans="1:9" x14ac:dyDescent="0.35">
      <c r="A203" s="3">
        <v>45365</v>
      </c>
      <c r="B203" t="s">
        <v>12</v>
      </c>
      <c r="C203" t="s">
        <v>15</v>
      </c>
      <c r="D203" t="s">
        <v>23</v>
      </c>
      <c r="E203">
        <v>2</v>
      </c>
      <c r="F203" s="7">
        <v>515.46</v>
      </c>
      <c r="G203" s="7">
        <v>1030.92</v>
      </c>
      <c r="H203" s="7">
        <v>218.61</v>
      </c>
      <c r="I203" s="7">
        <f t="shared" si="3"/>
        <v>812.31000000000006</v>
      </c>
    </row>
    <row r="204" spans="1:9" x14ac:dyDescent="0.35">
      <c r="A204" s="3">
        <v>45366</v>
      </c>
      <c r="B204" t="s">
        <v>10</v>
      </c>
      <c r="C204" t="s">
        <v>17</v>
      </c>
      <c r="D204" t="s">
        <v>28</v>
      </c>
      <c r="E204">
        <v>9</v>
      </c>
      <c r="F204" s="7">
        <v>1617.45</v>
      </c>
      <c r="G204" s="7">
        <v>14557.05</v>
      </c>
      <c r="H204" s="7">
        <v>2914.43</v>
      </c>
      <c r="I204" s="7">
        <f t="shared" si="3"/>
        <v>11642.619999999999</v>
      </c>
    </row>
    <row r="205" spans="1:9" x14ac:dyDescent="0.35">
      <c r="A205" s="3">
        <v>45366</v>
      </c>
      <c r="B205" t="s">
        <v>13</v>
      </c>
      <c r="C205" t="s">
        <v>14</v>
      </c>
      <c r="D205" t="s">
        <v>19</v>
      </c>
      <c r="E205">
        <v>1</v>
      </c>
      <c r="F205" s="7">
        <v>1372.44</v>
      </c>
      <c r="G205" s="7">
        <v>1372.44</v>
      </c>
      <c r="H205" s="7">
        <v>231.89</v>
      </c>
      <c r="I205" s="7">
        <f t="shared" si="3"/>
        <v>1140.5500000000002</v>
      </c>
    </row>
    <row r="206" spans="1:9" x14ac:dyDescent="0.35">
      <c r="A206" s="3">
        <v>45367</v>
      </c>
      <c r="B206" t="s">
        <v>10</v>
      </c>
      <c r="C206" t="s">
        <v>17</v>
      </c>
      <c r="D206" t="s">
        <v>27</v>
      </c>
      <c r="E206">
        <v>7</v>
      </c>
      <c r="F206" s="7">
        <v>1079.03</v>
      </c>
      <c r="G206" s="7">
        <v>7553.21</v>
      </c>
      <c r="H206" s="7">
        <v>1214.22</v>
      </c>
      <c r="I206" s="7">
        <f t="shared" si="3"/>
        <v>6338.99</v>
      </c>
    </row>
    <row r="207" spans="1:9" x14ac:dyDescent="0.35">
      <c r="A207" s="3">
        <v>45367</v>
      </c>
      <c r="B207" t="s">
        <v>13</v>
      </c>
      <c r="C207" t="s">
        <v>16</v>
      </c>
      <c r="D207" t="s">
        <v>25</v>
      </c>
      <c r="E207">
        <v>8</v>
      </c>
      <c r="F207" s="7">
        <v>2164.0500000000002</v>
      </c>
      <c r="G207" s="7">
        <v>17312.400000000001</v>
      </c>
      <c r="H207" s="7">
        <v>4119.75</v>
      </c>
      <c r="I207" s="7">
        <f t="shared" si="3"/>
        <v>13192.650000000001</v>
      </c>
    </row>
    <row r="208" spans="1:9" x14ac:dyDescent="0.35">
      <c r="A208" s="3">
        <v>45367</v>
      </c>
      <c r="B208" t="s">
        <v>13</v>
      </c>
      <c r="C208" t="s">
        <v>17</v>
      </c>
      <c r="D208" t="s">
        <v>28</v>
      </c>
      <c r="E208">
        <v>4</v>
      </c>
      <c r="F208" s="7">
        <v>1371.35</v>
      </c>
      <c r="G208" s="7">
        <v>5485.4</v>
      </c>
      <c r="H208" s="7">
        <v>878.03</v>
      </c>
      <c r="I208" s="7">
        <f t="shared" si="3"/>
        <v>4607.37</v>
      </c>
    </row>
    <row r="209" spans="1:9" x14ac:dyDescent="0.35">
      <c r="A209" s="3">
        <v>45368</v>
      </c>
      <c r="B209" t="s">
        <v>9</v>
      </c>
      <c r="C209" t="s">
        <v>15</v>
      </c>
      <c r="D209" t="s">
        <v>23</v>
      </c>
      <c r="E209">
        <v>4</v>
      </c>
      <c r="F209" s="7">
        <v>1166.1400000000001</v>
      </c>
      <c r="G209" s="7">
        <v>4664.5600000000004</v>
      </c>
      <c r="H209" s="7">
        <v>584.1</v>
      </c>
      <c r="I209" s="7">
        <f t="shared" si="3"/>
        <v>4080.4600000000005</v>
      </c>
    </row>
    <row r="210" spans="1:9" x14ac:dyDescent="0.35">
      <c r="A210" s="3">
        <v>45368</v>
      </c>
      <c r="B210" t="s">
        <v>8</v>
      </c>
      <c r="C210" t="s">
        <v>14</v>
      </c>
      <c r="D210" t="s">
        <v>20</v>
      </c>
      <c r="E210">
        <v>6</v>
      </c>
      <c r="F210" s="7">
        <v>1202.2</v>
      </c>
      <c r="G210" s="7">
        <v>7213.2</v>
      </c>
      <c r="H210" s="7">
        <v>1758.1</v>
      </c>
      <c r="I210" s="7">
        <f t="shared" si="3"/>
        <v>5455.1</v>
      </c>
    </row>
    <row r="211" spans="1:9" x14ac:dyDescent="0.35">
      <c r="A211" s="3">
        <v>45368</v>
      </c>
      <c r="B211" t="s">
        <v>9</v>
      </c>
      <c r="C211" t="s">
        <v>16</v>
      </c>
      <c r="D211" t="s">
        <v>29</v>
      </c>
      <c r="E211">
        <v>2</v>
      </c>
      <c r="F211" s="7">
        <v>792.89</v>
      </c>
      <c r="G211" s="7">
        <v>1585.78</v>
      </c>
      <c r="H211" s="7">
        <v>205.5</v>
      </c>
      <c r="I211" s="7">
        <f t="shared" si="3"/>
        <v>1380.28</v>
      </c>
    </row>
    <row r="212" spans="1:9" x14ac:dyDescent="0.35">
      <c r="A212" s="3">
        <v>45368</v>
      </c>
      <c r="B212" t="s">
        <v>11</v>
      </c>
      <c r="C212" t="s">
        <v>16</v>
      </c>
      <c r="D212" t="s">
        <v>25</v>
      </c>
      <c r="E212">
        <v>2</v>
      </c>
      <c r="F212" s="7">
        <v>854.29</v>
      </c>
      <c r="G212" s="7">
        <v>1708.58</v>
      </c>
      <c r="H212" s="7">
        <v>368.93</v>
      </c>
      <c r="I212" s="7">
        <f t="shared" si="3"/>
        <v>1339.6499999999999</v>
      </c>
    </row>
    <row r="213" spans="1:9" x14ac:dyDescent="0.35">
      <c r="A213" s="3">
        <v>45369</v>
      </c>
      <c r="B213" t="s">
        <v>11</v>
      </c>
      <c r="C213" t="s">
        <v>17</v>
      </c>
      <c r="D213" t="s">
        <v>27</v>
      </c>
      <c r="E213">
        <v>6</v>
      </c>
      <c r="F213" s="7">
        <v>801.91</v>
      </c>
      <c r="G213" s="7">
        <v>4811.46</v>
      </c>
      <c r="H213" s="7">
        <v>530.42999999999995</v>
      </c>
      <c r="I213" s="7">
        <f t="shared" si="3"/>
        <v>4281.03</v>
      </c>
    </row>
    <row r="214" spans="1:9" x14ac:dyDescent="0.35">
      <c r="A214" s="3">
        <v>45369</v>
      </c>
      <c r="B214" t="s">
        <v>10</v>
      </c>
      <c r="C214" t="s">
        <v>15</v>
      </c>
      <c r="D214" t="s">
        <v>23</v>
      </c>
      <c r="E214">
        <v>10</v>
      </c>
      <c r="F214" s="7">
        <v>612.34</v>
      </c>
      <c r="G214" s="7">
        <v>6123.4</v>
      </c>
      <c r="H214" s="7">
        <v>1078.33</v>
      </c>
      <c r="I214" s="7">
        <f t="shared" si="3"/>
        <v>5045.07</v>
      </c>
    </row>
    <row r="215" spans="1:9" x14ac:dyDescent="0.35">
      <c r="A215" s="3">
        <v>45369</v>
      </c>
      <c r="B215" t="s">
        <v>13</v>
      </c>
      <c r="C215" t="s">
        <v>17</v>
      </c>
      <c r="D215" t="s">
        <v>27</v>
      </c>
      <c r="E215">
        <v>1</v>
      </c>
      <c r="F215" s="7">
        <v>613.78</v>
      </c>
      <c r="G215" s="7">
        <v>613.78</v>
      </c>
      <c r="H215" s="7">
        <v>137.94999999999999</v>
      </c>
      <c r="I215" s="7">
        <f t="shared" si="3"/>
        <v>475.83</v>
      </c>
    </row>
    <row r="216" spans="1:9" x14ac:dyDescent="0.35">
      <c r="A216" s="3">
        <v>45369</v>
      </c>
      <c r="B216" t="s">
        <v>8</v>
      </c>
      <c r="C216" t="s">
        <v>14</v>
      </c>
      <c r="D216" t="s">
        <v>19</v>
      </c>
      <c r="E216">
        <v>8</v>
      </c>
      <c r="F216" s="7">
        <v>1660.66</v>
      </c>
      <c r="G216" s="7">
        <v>13285.28</v>
      </c>
      <c r="H216" s="7">
        <v>3230.11</v>
      </c>
      <c r="I216" s="7">
        <f t="shared" si="3"/>
        <v>10055.17</v>
      </c>
    </row>
    <row r="217" spans="1:9" x14ac:dyDescent="0.35">
      <c r="A217" s="3">
        <v>45370</v>
      </c>
      <c r="B217" t="s">
        <v>13</v>
      </c>
      <c r="C217" t="s">
        <v>17</v>
      </c>
      <c r="D217" t="s">
        <v>28</v>
      </c>
      <c r="E217">
        <v>6</v>
      </c>
      <c r="F217" s="7">
        <v>1710.01</v>
      </c>
      <c r="G217" s="7">
        <v>10260.06</v>
      </c>
      <c r="H217" s="7">
        <v>1797.61</v>
      </c>
      <c r="I217" s="7">
        <f t="shared" si="3"/>
        <v>8462.4499999999989</v>
      </c>
    </row>
    <row r="218" spans="1:9" x14ac:dyDescent="0.35">
      <c r="A218" s="3">
        <v>45371</v>
      </c>
      <c r="B218" t="s">
        <v>12</v>
      </c>
      <c r="C218" t="s">
        <v>14</v>
      </c>
      <c r="D218" t="s">
        <v>18</v>
      </c>
      <c r="E218">
        <v>2</v>
      </c>
      <c r="F218" s="7">
        <v>1509.1</v>
      </c>
      <c r="G218" s="7">
        <v>3018.2</v>
      </c>
      <c r="H218" s="7">
        <v>379.94</v>
      </c>
      <c r="I218" s="7">
        <f t="shared" si="3"/>
        <v>2638.2599999999998</v>
      </c>
    </row>
    <row r="219" spans="1:9" x14ac:dyDescent="0.35">
      <c r="A219" s="3">
        <v>45371</v>
      </c>
      <c r="B219" t="s">
        <v>10</v>
      </c>
      <c r="C219" t="s">
        <v>17</v>
      </c>
      <c r="D219" t="s">
        <v>27</v>
      </c>
      <c r="E219">
        <v>9</v>
      </c>
      <c r="F219" s="7">
        <v>1545.5</v>
      </c>
      <c r="G219" s="7">
        <v>13909.5</v>
      </c>
      <c r="H219" s="7">
        <v>1722.16</v>
      </c>
      <c r="I219" s="7">
        <f t="shared" si="3"/>
        <v>12187.34</v>
      </c>
    </row>
    <row r="220" spans="1:9" x14ac:dyDescent="0.35">
      <c r="A220" s="3">
        <v>45371</v>
      </c>
      <c r="B220" t="s">
        <v>13</v>
      </c>
      <c r="C220" t="s">
        <v>15</v>
      </c>
      <c r="D220" t="s">
        <v>30</v>
      </c>
      <c r="E220">
        <v>7</v>
      </c>
      <c r="F220" s="7">
        <v>2048.9299999999998</v>
      </c>
      <c r="G220" s="7">
        <v>14342.51</v>
      </c>
      <c r="H220" s="7">
        <v>2894.82</v>
      </c>
      <c r="I220" s="7">
        <f t="shared" si="3"/>
        <v>11447.69</v>
      </c>
    </row>
    <row r="221" spans="1:9" x14ac:dyDescent="0.35">
      <c r="A221" s="3">
        <v>45371</v>
      </c>
      <c r="B221" t="s">
        <v>10</v>
      </c>
      <c r="C221" t="s">
        <v>15</v>
      </c>
      <c r="D221" t="s">
        <v>22</v>
      </c>
      <c r="E221">
        <v>6</v>
      </c>
      <c r="F221" s="7">
        <v>689.01</v>
      </c>
      <c r="G221" s="7">
        <v>4134.0600000000004</v>
      </c>
      <c r="H221" s="7">
        <v>834.08</v>
      </c>
      <c r="I221" s="7">
        <f t="shared" si="3"/>
        <v>3299.9800000000005</v>
      </c>
    </row>
    <row r="222" spans="1:9" x14ac:dyDescent="0.35">
      <c r="A222" s="3">
        <v>45372</v>
      </c>
      <c r="B222" t="s">
        <v>10</v>
      </c>
      <c r="C222" t="s">
        <v>16</v>
      </c>
      <c r="D222" t="s">
        <v>26</v>
      </c>
      <c r="E222">
        <v>2</v>
      </c>
      <c r="F222" s="7">
        <v>1665.48</v>
      </c>
      <c r="G222" s="7">
        <v>3330.96</v>
      </c>
      <c r="H222" s="7">
        <v>403.76</v>
      </c>
      <c r="I222" s="7">
        <f t="shared" si="3"/>
        <v>2927.2</v>
      </c>
    </row>
    <row r="223" spans="1:9" x14ac:dyDescent="0.35">
      <c r="A223" s="3">
        <v>45372</v>
      </c>
      <c r="B223" t="s">
        <v>10</v>
      </c>
      <c r="C223" t="s">
        <v>15</v>
      </c>
      <c r="D223" t="s">
        <v>30</v>
      </c>
      <c r="E223">
        <v>3</v>
      </c>
      <c r="F223" s="7">
        <v>1690.08</v>
      </c>
      <c r="G223" s="7">
        <v>5070.24</v>
      </c>
      <c r="H223" s="7">
        <v>1220.4100000000001</v>
      </c>
      <c r="I223" s="7">
        <f t="shared" si="3"/>
        <v>3849.83</v>
      </c>
    </row>
    <row r="224" spans="1:9" x14ac:dyDescent="0.35">
      <c r="A224" s="3">
        <v>45372</v>
      </c>
      <c r="B224" t="s">
        <v>8</v>
      </c>
      <c r="C224" t="s">
        <v>17</v>
      </c>
      <c r="D224" t="s">
        <v>27</v>
      </c>
      <c r="E224">
        <v>3</v>
      </c>
      <c r="F224" s="7">
        <v>1840.23</v>
      </c>
      <c r="G224" s="7">
        <v>5520.69</v>
      </c>
      <c r="H224" s="7">
        <v>1238.53</v>
      </c>
      <c r="I224" s="7">
        <f t="shared" si="3"/>
        <v>4282.16</v>
      </c>
    </row>
    <row r="225" spans="1:9" x14ac:dyDescent="0.35">
      <c r="A225" s="3">
        <v>45373</v>
      </c>
      <c r="B225" t="s">
        <v>12</v>
      </c>
      <c r="C225" t="s">
        <v>14</v>
      </c>
      <c r="D225" t="s">
        <v>19</v>
      </c>
      <c r="E225">
        <v>9</v>
      </c>
      <c r="F225" s="7">
        <v>1223.6600000000001</v>
      </c>
      <c r="G225" s="7">
        <v>11012.94</v>
      </c>
      <c r="H225" s="7">
        <v>1700.28</v>
      </c>
      <c r="I225" s="7">
        <f t="shared" si="3"/>
        <v>9312.66</v>
      </c>
    </row>
    <row r="226" spans="1:9" x14ac:dyDescent="0.35">
      <c r="A226" s="3">
        <v>45373</v>
      </c>
      <c r="B226" t="s">
        <v>12</v>
      </c>
      <c r="C226" t="s">
        <v>16</v>
      </c>
      <c r="D226" t="s">
        <v>26</v>
      </c>
      <c r="E226">
        <v>8</v>
      </c>
      <c r="F226" s="7">
        <v>884.01</v>
      </c>
      <c r="G226" s="7">
        <v>7072.08</v>
      </c>
      <c r="H226" s="7">
        <v>1768</v>
      </c>
      <c r="I226" s="7">
        <f t="shared" si="3"/>
        <v>5304.08</v>
      </c>
    </row>
    <row r="227" spans="1:9" x14ac:dyDescent="0.35">
      <c r="A227" s="3">
        <v>45373</v>
      </c>
      <c r="B227" t="s">
        <v>8</v>
      </c>
      <c r="C227" t="s">
        <v>14</v>
      </c>
      <c r="D227" t="s">
        <v>18</v>
      </c>
      <c r="E227">
        <v>2</v>
      </c>
      <c r="F227" s="7">
        <v>1515.38</v>
      </c>
      <c r="G227" s="7">
        <v>3030.76</v>
      </c>
      <c r="H227" s="7">
        <v>548.46</v>
      </c>
      <c r="I227" s="7">
        <f t="shared" si="3"/>
        <v>2482.3000000000002</v>
      </c>
    </row>
    <row r="228" spans="1:9" x14ac:dyDescent="0.35">
      <c r="A228" s="3">
        <v>45373</v>
      </c>
      <c r="B228" t="s">
        <v>12</v>
      </c>
      <c r="C228" t="s">
        <v>14</v>
      </c>
      <c r="D228" t="s">
        <v>18</v>
      </c>
      <c r="E228">
        <v>10</v>
      </c>
      <c r="F228" s="7">
        <v>762.1</v>
      </c>
      <c r="G228" s="7">
        <v>7621</v>
      </c>
      <c r="H228" s="7">
        <v>1192.75</v>
      </c>
      <c r="I228" s="7">
        <f t="shared" si="3"/>
        <v>6428.25</v>
      </c>
    </row>
    <row r="229" spans="1:9" x14ac:dyDescent="0.35">
      <c r="A229" s="3">
        <v>45373</v>
      </c>
      <c r="B229" t="s">
        <v>11</v>
      </c>
      <c r="C229" t="s">
        <v>16</v>
      </c>
      <c r="D229" t="s">
        <v>25</v>
      </c>
      <c r="E229">
        <v>10</v>
      </c>
      <c r="F229" s="7">
        <v>2118.09</v>
      </c>
      <c r="G229" s="7">
        <v>21180.9</v>
      </c>
      <c r="H229" s="7">
        <v>2644.03</v>
      </c>
      <c r="I229" s="7">
        <f t="shared" si="3"/>
        <v>18536.870000000003</v>
      </c>
    </row>
    <row r="230" spans="1:9" x14ac:dyDescent="0.35">
      <c r="A230" s="3">
        <v>45374</v>
      </c>
      <c r="B230" t="s">
        <v>8</v>
      </c>
      <c r="C230" t="s">
        <v>17</v>
      </c>
      <c r="D230" t="s">
        <v>27</v>
      </c>
      <c r="E230">
        <v>4</v>
      </c>
      <c r="F230" s="7">
        <v>2439.1799999999998</v>
      </c>
      <c r="G230" s="7">
        <v>9756.7199999999993</v>
      </c>
      <c r="H230" s="7">
        <v>1869.28</v>
      </c>
      <c r="I230" s="7">
        <f t="shared" si="3"/>
        <v>7887.44</v>
      </c>
    </row>
    <row r="231" spans="1:9" x14ac:dyDescent="0.35">
      <c r="A231" s="3">
        <v>45375</v>
      </c>
      <c r="B231" t="s">
        <v>11</v>
      </c>
      <c r="C231" t="s">
        <v>16</v>
      </c>
      <c r="D231" t="s">
        <v>25</v>
      </c>
      <c r="E231">
        <v>4</v>
      </c>
      <c r="F231" s="7">
        <v>1118.94</v>
      </c>
      <c r="G231" s="7">
        <v>4475.76</v>
      </c>
      <c r="H231" s="7">
        <v>990.46</v>
      </c>
      <c r="I231" s="7">
        <f t="shared" si="3"/>
        <v>3485.3</v>
      </c>
    </row>
    <row r="232" spans="1:9" x14ac:dyDescent="0.35">
      <c r="A232" s="3">
        <v>45375</v>
      </c>
      <c r="B232" t="s">
        <v>10</v>
      </c>
      <c r="C232" t="s">
        <v>16</v>
      </c>
      <c r="D232" t="s">
        <v>26</v>
      </c>
      <c r="E232">
        <v>10</v>
      </c>
      <c r="F232" s="7">
        <v>2468.88</v>
      </c>
      <c r="G232" s="7">
        <v>24688.799999999999</v>
      </c>
      <c r="H232" s="7">
        <v>4178.63</v>
      </c>
      <c r="I232" s="7">
        <f t="shared" si="3"/>
        <v>20510.169999999998</v>
      </c>
    </row>
    <row r="233" spans="1:9" x14ac:dyDescent="0.35">
      <c r="A233" s="3">
        <v>45375</v>
      </c>
      <c r="B233" t="s">
        <v>12</v>
      </c>
      <c r="C233" t="s">
        <v>17</v>
      </c>
      <c r="D233" t="s">
        <v>27</v>
      </c>
      <c r="E233">
        <v>3</v>
      </c>
      <c r="F233" s="7">
        <v>2133.7800000000002</v>
      </c>
      <c r="G233" s="7">
        <v>6401.34</v>
      </c>
      <c r="H233" s="7">
        <v>1409.5</v>
      </c>
      <c r="I233" s="7">
        <f t="shared" si="3"/>
        <v>4991.84</v>
      </c>
    </row>
    <row r="234" spans="1:9" x14ac:dyDescent="0.35">
      <c r="A234" s="3">
        <v>45375</v>
      </c>
      <c r="B234" t="s">
        <v>13</v>
      </c>
      <c r="C234" t="s">
        <v>15</v>
      </c>
      <c r="D234" t="s">
        <v>22</v>
      </c>
      <c r="E234">
        <v>8</v>
      </c>
      <c r="F234" s="7">
        <v>2248.23</v>
      </c>
      <c r="G234" s="7">
        <v>17985.84</v>
      </c>
      <c r="H234" s="7">
        <v>3294.67</v>
      </c>
      <c r="I234" s="7">
        <f t="shared" si="3"/>
        <v>14691.17</v>
      </c>
    </row>
    <row r="235" spans="1:9" x14ac:dyDescent="0.35">
      <c r="A235" s="3">
        <v>45376</v>
      </c>
      <c r="B235" t="s">
        <v>9</v>
      </c>
      <c r="C235" t="s">
        <v>14</v>
      </c>
      <c r="D235" t="s">
        <v>18</v>
      </c>
      <c r="E235">
        <v>2</v>
      </c>
      <c r="F235" s="7">
        <v>2026.23</v>
      </c>
      <c r="G235" s="7">
        <v>4052.46</v>
      </c>
      <c r="H235" s="7">
        <v>571.07000000000005</v>
      </c>
      <c r="I235" s="7">
        <f t="shared" si="3"/>
        <v>3481.39</v>
      </c>
    </row>
    <row r="236" spans="1:9" x14ac:dyDescent="0.35">
      <c r="A236" s="3">
        <v>45376</v>
      </c>
      <c r="B236" t="s">
        <v>11</v>
      </c>
      <c r="C236" t="s">
        <v>16</v>
      </c>
      <c r="D236" t="s">
        <v>26</v>
      </c>
      <c r="E236">
        <v>2</v>
      </c>
      <c r="F236" s="7">
        <v>2392.83</v>
      </c>
      <c r="G236" s="7">
        <v>4785.66</v>
      </c>
      <c r="H236" s="7">
        <v>637.96</v>
      </c>
      <c r="I236" s="7">
        <f t="shared" si="3"/>
        <v>4147.7</v>
      </c>
    </row>
    <row r="237" spans="1:9" x14ac:dyDescent="0.35">
      <c r="A237" s="3">
        <v>45376</v>
      </c>
      <c r="B237" t="s">
        <v>12</v>
      </c>
      <c r="C237" t="s">
        <v>15</v>
      </c>
      <c r="D237" t="s">
        <v>22</v>
      </c>
      <c r="E237">
        <v>7</v>
      </c>
      <c r="F237" s="7">
        <v>606.51</v>
      </c>
      <c r="G237" s="7">
        <v>4245.57</v>
      </c>
      <c r="H237" s="7">
        <v>744.25</v>
      </c>
      <c r="I237" s="7">
        <f t="shared" si="3"/>
        <v>3501.3199999999997</v>
      </c>
    </row>
    <row r="238" spans="1:9" x14ac:dyDescent="0.35">
      <c r="A238" s="3">
        <v>45376</v>
      </c>
      <c r="B238" t="s">
        <v>13</v>
      </c>
      <c r="C238" t="s">
        <v>17</v>
      </c>
      <c r="D238" t="s">
        <v>28</v>
      </c>
      <c r="E238">
        <v>6</v>
      </c>
      <c r="F238" s="7">
        <v>949.08</v>
      </c>
      <c r="G238" s="7">
        <v>5694.48</v>
      </c>
      <c r="H238" s="7">
        <v>841.66</v>
      </c>
      <c r="I238" s="7">
        <f t="shared" si="3"/>
        <v>4852.82</v>
      </c>
    </row>
    <row r="239" spans="1:9" x14ac:dyDescent="0.35">
      <c r="A239" s="3">
        <v>45376</v>
      </c>
      <c r="B239" t="s">
        <v>11</v>
      </c>
      <c r="C239" t="s">
        <v>15</v>
      </c>
      <c r="D239" t="s">
        <v>24</v>
      </c>
      <c r="E239">
        <v>3</v>
      </c>
      <c r="F239" s="7">
        <v>576.61</v>
      </c>
      <c r="G239" s="7">
        <v>1729.83</v>
      </c>
      <c r="H239" s="7">
        <v>411.02</v>
      </c>
      <c r="I239" s="7">
        <f t="shared" si="3"/>
        <v>1318.81</v>
      </c>
    </row>
    <row r="240" spans="1:9" x14ac:dyDescent="0.35">
      <c r="A240" s="3">
        <v>45377</v>
      </c>
      <c r="B240" t="s">
        <v>10</v>
      </c>
      <c r="C240" t="s">
        <v>17</v>
      </c>
      <c r="D240" t="s">
        <v>27</v>
      </c>
      <c r="E240">
        <v>10</v>
      </c>
      <c r="F240" s="7">
        <v>510.5</v>
      </c>
      <c r="G240" s="7">
        <v>5105</v>
      </c>
      <c r="H240" s="7">
        <v>571.16999999999996</v>
      </c>
      <c r="I240" s="7">
        <f t="shared" si="3"/>
        <v>4533.83</v>
      </c>
    </row>
    <row r="241" spans="1:9" x14ac:dyDescent="0.35">
      <c r="A241" s="3">
        <v>45377</v>
      </c>
      <c r="B241" t="s">
        <v>11</v>
      </c>
      <c r="C241" t="s">
        <v>16</v>
      </c>
      <c r="D241" t="s">
        <v>29</v>
      </c>
      <c r="E241">
        <v>9</v>
      </c>
      <c r="F241" s="7">
        <v>2380.4499999999998</v>
      </c>
      <c r="G241" s="7">
        <v>21424.05</v>
      </c>
      <c r="H241" s="7">
        <v>4099.1099999999997</v>
      </c>
      <c r="I241" s="7">
        <f t="shared" si="3"/>
        <v>17324.939999999999</v>
      </c>
    </row>
    <row r="242" spans="1:9" x14ac:dyDescent="0.35">
      <c r="A242" s="3">
        <v>45378</v>
      </c>
      <c r="B242" t="s">
        <v>8</v>
      </c>
      <c r="C242" t="s">
        <v>15</v>
      </c>
      <c r="D242" t="s">
        <v>24</v>
      </c>
      <c r="E242">
        <v>5</v>
      </c>
      <c r="F242" s="7">
        <v>743.7</v>
      </c>
      <c r="G242" s="7">
        <v>3718.5</v>
      </c>
      <c r="H242" s="7">
        <v>504.85</v>
      </c>
      <c r="I242" s="7">
        <f t="shared" si="3"/>
        <v>3213.65</v>
      </c>
    </row>
    <row r="243" spans="1:9" x14ac:dyDescent="0.35">
      <c r="A243" s="3">
        <v>45379</v>
      </c>
      <c r="B243" t="s">
        <v>9</v>
      </c>
      <c r="C243" t="s">
        <v>17</v>
      </c>
      <c r="D243" t="s">
        <v>28</v>
      </c>
      <c r="E243">
        <v>2</v>
      </c>
      <c r="F243" s="7">
        <v>2173.38</v>
      </c>
      <c r="G243" s="7">
        <v>4346.76</v>
      </c>
      <c r="H243" s="7">
        <v>760.57</v>
      </c>
      <c r="I243" s="7">
        <f t="shared" si="3"/>
        <v>3586.19</v>
      </c>
    </row>
    <row r="244" spans="1:9" x14ac:dyDescent="0.35">
      <c r="A244" s="3">
        <v>45379</v>
      </c>
      <c r="B244" t="s">
        <v>10</v>
      </c>
      <c r="C244" t="s">
        <v>14</v>
      </c>
      <c r="D244" t="s">
        <v>20</v>
      </c>
      <c r="E244">
        <v>3</v>
      </c>
      <c r="F244" s="7">
        <v>1082.54</v>
      </c>
      <c r="G244" s="7">
        <v>3247.62</v>
      </c>
      <c r="H244" s="7">
        <v>325.52</v>
      </c>
      <c r="I244" s="7">
        <f t="shared" si="3"/>
        <v>2922.1</v>
      </c>
    </row>
    <row r="245" spans="1:9" x14ac:dyDescent="0.35">
      <c r="A245" s="3">
        <v>45379</v>
      </c>
      <c r="B245" t="s">
        <v>9</v>
      </c>
      <c r="C245" t="s">
        <v>16</v>
      </c>
      <c r="D245" t="s">
        <v>25</v>
      </c>
      <c r="E245">
        <v>7</v>
      </c>
      <c r="F245" s="7">
        <v>874.63</v>
      </c>
      <c r="G245" s="7">
        <v>6122.41</v>
      </c>
      <c r="H245" s="7">
        <v>1225.9000000000001</v>
      </c>
      <c r="I245" s="7">
        <f t="shared" si="3"/>
        <v>4896.51</v>
      </c>
    </row>
    <row r="246" spans="1:9" x14ac:dyDescent="0.35">
      <c r="A246" s="3">
        <v>45379</v>
      </c>
      <c r="B246" t="s">
        <v>9</v>
      </c>
      <c r="C246" t="s">
        <v>15</v>
      </c>
      <c r="D246" t="s">
        <v>22</v>
      </c>
      <c r="E246">
        <v>9</v>
      </c>
      <c r="F246" s="7">
        <v>1588.16</v>
      </c>
      <c r="G246" s="7">
        <v>14293.44</v>
      </c>
      <c r="H246" s="7">
        <v>3115.42</v>
      </c>
      <c r="I246" s="7">
        <f t="shared" si="3"/>
        <v>11178.02</v>
      </c>
    </row>
    <row r="247" spans="1:9" x14ac:dyDescent="0.35">
      <c r="A247" s="3">
        <v>45379</v>
      </c>
      <c r="B247" t="s">
        <v>10</v>
      </c>
      <c r="C247" t="s">
        <v>14</v>
      </c>
      <c r="D247" t="s">
        <v>19</v>
      </c>
      <c r="E247">
        <v>8</v>
      </c>
      <c r="F247" s="7">
        <v>587.07000000000005</v>
      </c>
      <c r="G247" s="7">
        <v>4696.5600000000004</v>
      </c>
      <c r="H247" s="7">
        <v>742.21</v>
      </c>
      <c r="I247" s="7">
        <f t="shared" si="3"/>
        <v>3954.3500000000004</v>
      </c>
    </row>
    <row r="248" spans="1:9" x14ac:dyDescent="0.35">
      <c r="A248" s="3">
        <v>45380</v>
      </c>
      <c r="B248" t="s">
        <v>8</v>
      </c>
      <c r="C248" t="s">
        <v>14</v>
      </c>
      <c r="D248" t="s">
        <v>18</v>
      </c>
      <c r="E248">
        <v>2</v>
      </c>
      <c r="F248" s="7">
        <v>1189.5999999999999</v>
      </c>
      <c r="G248" s="7">
        <v>2379.1999999999998</v>
      </c>
      <c r="H248" s="7">
        <v>499.49</v>
      </c>
      <c r="I248" s="7">
        <f t="shared" si="3"/>
        <v>1879.7099999999998</v>
      </c>
    </row>
    <row r="249" spans="1:9" x14ac:dyDescent="0.35">
      <c r="A249" s="3">
        <v>45380</v>
      </c>
      <c r="B249" t="s">
        <v>8</v>
      </c>
      <c r="C249" t="s">
        <v>14</v>
      </c>
      <c r="D249" t="s">
        <v>18</v>
      </c>
      <c r="E249">
        <v>3</v>
      </c>
      <c r="F249" s="7">
        <v>588.66999999999996</v>
      </c>
      <c r="G249" s="7">
        <v>1766.01</v>
      </c>
      <c r="H249" s="7">
        <v>321.24</v>
      </c>
      <c r="I249" s="7">
        <f t="shared" si="3"/>
        <v>1444.77</v>
      </c>
    </row>
    <row r="250" spans="1:9" x14ac:dyDescent="0.35">
      <c r="A250" s="3">
        <v>45380</v>
      </c>
      <c r="B250" t="s">
        <v>12</v>
      </c>
      <c r="C250" t="s">
        <v>16</v>
      </c>
      <c r="D250" t="s">
        <v>25</v>
      </c>
      <c r="E250">
        <v>8</v>
      </c>
      <c r="F250" s="7">
        <v>2461.64</v>
      </c>
      <c r="G250" s="7">
        <v>19693.12</v>
      </c>
      <c r="H250" s="7">
        <v>3382.88</v>
      </c>
      <c r="I250" s="7">
        <f t="shared" si="3"/>
        <v>16310.239999999998</v>
      </c>
    </row>
    <row r="251" spans="1:9" x14ac:dyDescent="0.35">
      <c r="A251" s="3">
        <v>45381</v>
      </c>
      <c r="B251" t="s">
        <v>12</v>
      </c>
      <c r="C251" t="s">
        <v>14</v>
      </c>
      <c r="D251" t="s">
        <v>19</v>
      </c>
      <c r="E251">
        <v>1</v>
      </c>
      <c r="F251" s="7">
        <v>1086.8900000000001</v>
      </c>
      <c r="G251" s="7">
        <v>1086.8900000000001</v>
      </c>
      <c r="H251" s="7">
        <v>115.83</v>
      </c>
      <c r="I251" s="7">
        <f t="shared" si="3"/>
        <v>971.06000000000006</v>
      </c>
    </row>
    <row r="252" spans="1:9" x14ac:dyDescent="0.35">
      <c r="A252" s="3">
        <v>45381</v>
      </c>
      <c r="B252" t="s">
        <v>9</v>
      </c>
      <c r="C252" t="s">
        <v>14</v>
      </c>
      <c r="D252" t="s">
        <v>18</v>
      </c>
      <c r="E252">
        <v>5</v>
      </c>
      <c r="F252" s="7">
        <v>1530.77</v>
      </c>
      <c r="G252" s="7">
        <v>7653.85</v>
      </c>
      <c r="H252" s="7">
        <v>1900.97</v>
      </c>
      <c r="I252" s="7">
        <f t="shared" si="3"/>
        <v>5752.88</v>
      </c>
    </row>
    <row r="253" spans="1:9" x14ac:dyDescent="0.35">
      <c r="A253" s="3">
        <v>45382</v>
      </c>
      <c r="B253" t="s">
        <v>13</v>
      </c>
      <c r="C253" t="s">
        <v>15</v>
      </c>
      <c r="D253" t="s">
        <v>22</v>
      </c>
      <c r="E253">
        <v>4</v>
      </c>
      <c r="F253" s="7">
        <v>1072.22</v>
      </c>
      <c r="G253" s="7">
        <v>4288.88</v>
      </c>
      <c r="H253" s="7">
        <v>983.53</v>
      </c>
      <c r="I253" s="7">
        <f t="shared" si="3"/>
        <v>3305.3500000000004</v>
      </c>
    </row>
    <row r="254" spans="1:9" x14ac:dyDescent="0.35">
      <c r="A254" s="3">
        <v>45382</v>
      </c>
      <c r="B254" t="s">
        <v>11</v>
      </c>
      <c r="C254" t="s">
        <v>15</v>
      </c>
      <c r="D254" t="s">
        <v>23</v>
      </c>
      <c r="E254">
        <v>2</v>
      </c>
      <c r="F254" s="7">
        <v>2098.6799999999998</v>
      </c>
      <c r="G254" s="7">
        <v>4197.3599999999997</v>
      </c>
      <c r="H254" s="7">
        <v>694.84</v>
      </c>
      <c r="I254" s="7">
        <f t="shared" si="3"/>
        <v>3502.5199999999995</v>
      </c>
    </row>
    <row r="255" spans="1:9" x14ac:dyDescent="0.35">
      <c r="A255" s="3">
        <v>45382</v>
      </c>
      <c r="B255" t="s">
        <v>11</v>
      </c>
      <c r="C255" t="s">
        <v>17</v>
      </c>
      <c r="D255" t="s">
        <v>27</v>
      </c>
      <c r="E255">
        <v>6</v>
      </c>
      <c r="F255" s="7">
        <v>2447.4499999999998</v>
      </c>
      <c r="G255" s="7">
        <v>14684.7</v>
      </c>
      <c r="H255" s="7">
        <v>2561.46</v>
      </c>
      <c r="I255" s="7">
        <f t="shared" si="3"/>
        <v>12123.240000000002</v>
      </c>
    </row>
    <row r="256" spans="1:9" x14ac:dyDescent="0.35">
      <c r="A256" s="3">
        <v>45382</v>
      </c>
      <c r="B256" t="s">
        <v>9</v>
      </c>
      <c r="C256" t="s">
        <v>15</v>
      </c>
      <c r="D256" t="s">
        <v>23</v>
      </c>
      <c r="E256">
        <v>2</v>
      </c>
      <c r="F256" s="7">
        <v>1954.16</v>
      </c>
      <c r="G256" s="7">
        <v>3908.32</v>
      </c>
      <c r="H256" s="7">
        <v>437.1</v>
      </c>
      <c r="I256" s="7">
        <f t="shared" si="3"/>
        <v>3471.2200000000003</v>
      </c>
    </row>
    <row r="257" spans="1:9" x14ac:dyDescent="0.35">
      <c r="A257" s="3">
        <v>45383</v>
      </c>
      <c r="B257" t="s">
        <v>10</v>
      </c>
      <c r="C257" t="s">
        <v>15</v>
      </c>
      <c r="D257" t="s">
        <v>23</v>
      </c>
      <c r="E257">
        <v>2</v>
      </c>
      <c r="F257" s="7">
        <v>660.14</v>
      </c>
      <c r="G257" s="7">
        <v>1320.28</v>
      </c>
      <c r="H257" s="7">
        <v>262.92</v>
      </c>
      <c r="I257" s="7">
        <f t="shared" si="3"/>
        <v>1057.3599999999999</v>
      </c>
    </row>
    <row r="258" spans="1:9" x14ac:dyDescent="0.35">
      <c r="A258" s="3">
        <v>45383</v>
      </c>
      <c r="B258" t="s">
        <v>13</v>
      </c>
      <c r="C258" t="s">
        <v>17</v>
      </c>
      <c r="D258" t="s">
        <v>27</v>
      </c>
      <c r="E258">
        <v>3</v>
      </c>
      <c r="F258" s="7">
        <v>1879.53</v>
      </c>
      <c r="G258" s="7">
        <v>5638.59</v>
      </c>
      <c r="H258" s="7">
        <v>861.19</v>
      </c>
      <c r="I258" s="7">
        <f t="shared" si="3"/>
        <v>4777.3999999999996</v>
      </c>
    </row>
    <row r="259" spans="1:9" x14ac:dyDescent="0.35">
      <c r="A259" s="3">
        <v>45384</v>
      </c>
      <c r="B259" t="s">
        <v>10</v>
      </c>
      <c r="C259" t="s">
        <v>17</v>
      </c>
      <c r="D259" t="s">
        <v>27</v>
      </c>
      <c r="E259">
        <v>1</v>
      </c>
      <c r="F259" s="7">
        <v>650.08000000000004</v>
      </c>
      <c r="G259" s="7">
        <v>650.08000000000004</v>
      </c>
      <c r="H259" s="7">
        <v>127.17</v>
      </c>
      <c r="I259" s="7">
        <f t="shared" ref="I259:I322" si="4">G259-H259</f>
        <v>522.91000000000008</v>
      </c>
    </row>
    <row r="260" spans="1:9" x14ac:dyDescent="0.35">
      <c r="A260" s="3">
        <v>45384</v>
      </c>
      <c r="B260" t="s">
        <v>11</v>
      </c>
      <c r="C260" t="s">
        <v>16</v>
      </c>
      <c r="D260" t="s">
        <v>29</v>
      </c>
      <c r="E260">
        <v>3</v>
      </c>
      <c r="F260" s="7">
        <v>2197.34</v>
      </c>
      <c r="G260" s="7">
        <v>6592.02</v>
      </c>
      <c r="H260" s="7">
        <v>1329.7</v>
      </c>
      <c r="I260" s="7">
        <f t="shared" si="4"/>
        <v>5262.3200000000006</v>
      </c>
    </row>
    <row r="261" spans="1:9" x14ac:dyDescent="0.35">
      <c r="A261" s="3">
        <v>45384</v>
      </c>
      <c r="B261" t="s">
        <v>10</v>
      </c>
      <c r="C261" t="s">
        <v>14</v>
      </c>
      <c r="D261" t="s">
        <v>20</v>
      </c>
      <c r="E261">
        <v>2</v>
      </c>
      <c r="F261" s="7">
        <v>971.99</v>
      </c>
      <c r="G261" s="7">
        <v>1943.98</v>
      </c>
      <c r="H261" s="7">
        <v>382.53</v>
      </c>
      <c r="I261" s="7">
        <f t="shared" si="4"/>
        <v>1561.45</v>
      </c>
    </row>
    <row r="262" spans="1:9" x14ac:dyDescent="0.35">
      <c r="A262" s="3">
        <v>45385</v>
      </c>
      <c r="B262" t="s">
        <v>13</v>
      </c>
      <c r="C262" t="s">
        <v>14</v>
      </c>
      <c r="D262" t="s">
        <v>20</v>
      </c>
      <c r="E262">
        <v>8</v>
      </c>
      <c r="F262" s="7">
        <v>2397.65</v>
      </c>
      <c r="G262" s="7">
        <v>19181.2</v>
      </c>
      <c r="H262" s="7">
        <v>2988.47</v>
      </c>
      <c r="I262" s="7">
        <f t="shared" si="4"/>
        <v>16192.730000000001</v>
      </c>
    </row>
    <row r="263" spans="1:9" x14ac:dyDescent="0.35">
      <c r="A263" s="3">
        <v>45385</v>
      </c>
      <c r="B263" t="s">
        <v>12</v>
      </c>
      <c r="C263" t="s">
        <v>16</v>
      </c>
      <c r="D263" t="s">
        <v>25</v>
      </c>
      <c r="E263">
        <v>6</v>
      </c>
      <c r="F263" s="7">
        <v>1296.07</v>
      </c>
      <c r="G263" s="7">
        <v>7776.42</v>
      </c>
      <c r="H263" s="7">
        <v>1535.33</v>
      </c>
      <c r="I263" s="7">
        <f t="shared" si="4"/>
        <v>6241.09</v>
      </c>
    </row>
    <row r="264" spans="1:9" x14ac:dyDescent="0.35">
      <c r="A264" s="3">
        <v>45385</v>
      </c>
      <c r="B264" t="s">
        <v>9</v>
      </c>
      <c r="C264" t="s">
        <v>14</v>
      </c>
      <c r="D264" t="s">
        <v>21</v>
      </c>
      <c r="E264">
        <v>3</v>
      </c>
      <c r="F264" s="7">
        <v>1498.09</v>
      </c>
      <c r="G264" s="7">
        <v>4494.2700000000004</v>
      </c>
      <c r="H264" s="7">
        <v>710.31</v>
      </c>
      <c r="I264" s="7">
        <f t="shared" si="4"/>
        <v>3783.9600000000005</v>
      </c>
    </row>
    <row r="265" spans="1:9" x14ac:dyDescent="0.35">
      <c r="A265" s="3">
        <v>45385</v>
      </c>
      <c r="B265" t="s">
        <v>9</v>
      </c>
      <c r="C265" t="s">
        <v>14</v>
      </c>
      <c r="D265" t="s">
        <v>18</v>
      </c>
      <c r="E265">
        <v>5</v>
      </c>
      <c r="F265" s="7">
        <v>1908.08</v>
      </c>
      <c r="G265" s="7">
        <v>9540.4</v>
      </c>
      <c r="H265" s="7">
        <v>1261.0999999999999</v>
      </c>
      <c r="I265" s="7">
        <f t="shared" si="4"/>
        <v>8279.2999999999993</v>
      </c>
    </row>
    <row r="266" spans="1:9" x14ac:dyDescent="0.35">
      <c r="A266" s="3">
        <v>45386</v>
      </c>
      <c r="B266" t="s">
        <v>12</v>
      </c>
      <c r="C266" t="s">
        <v>17</v>
      </c>
      <c r="D266" t="s">
        <v>28</v>
      </c>
      <c r="E266">
        <v>2</v>
      </c>
      <c r="F266" s="7">
        <v>771.46</v>
      </c>
      <c r="G266" s="7">
        <v>1542.92</v>
      </c>
      <c r="H266" s="7">
        <v>171.43</v>
      </c>
      <c r="I266" s="7">
        <f t="shared" si="4"/>
        <v>1371.49</v>
      </c>
    </row>
    <row r="267" spans="1:9" x14ac:dyDescent="0.35">
      <c r="A267" s="3">
        <v>45386</v>
      </c>
      <c r="B267" t="s">
        <v>9</v>
      </c>
      <c r="C267" t="s">
        <v>17</v>
      </c>
      <c r="D267" t="s">
        <v>28</v>
      </c>
      <c r="E267">
        <v>6</v>
      </c>
      <c r="F267" s="7">
        <v>1835.68</v>
      </c>
      <c r="G267" s="7">
        <v>11014.08</v>
      </c>
      <c r="H267" s="7">
        <v>2273.65</v>
      </c>
      <c r="I267" s="7">
        <f t="shared" si="4"/>
        <v>8740.43</v>
      </c>
    </row>
    <row r="268" spans="1:9" x14ac:dyDescent="0.35">
      <c r="A268" s="3">
        <v>45386</v>
      </c>
      <c r="B268" t="s">
        <v>8</v>
      </c>
      <c r="C268" t="s">
        <v>15</v>
      </c>
      <c r="D268" t="s">
        <v>23</v>
      </c>
      <c r="E268">
        <v>3</v>
      </c>
      <c r="F268" s="7">
        <v>1923.62</v>
      </c>
      <c r="G268" s="7">
        <v>5770.86</v>
      </c>
      <c r="H268" s="7">
        <v>1379.8</v>
      </c>
      <c r="I268" s="7">
        <f t="shared" si="4"/>
        <v>4391.0599999999995</v>
      </c>
    </row>
    <row r="269" spans="1:9" x14ac:dyDescent="0.35">
      <c r="A269" s="3">
        <v>45387</v>
      </c>
      <c r="B269" t="s">
        <v>12</v>
      </c>
      <c r="C269" t="s">
        <v>15</v>
      </c>
      <c r="D269" t="s">
        <v>24</v>
      </c>
      <c r="E269">
        <v>2</v>
      </c>
      <c r="F269" s="7">
        <v>2470.27</v>
      </c>
      <c r="G269" s="7">
        <v>4940.54</v>
      </c>
      <c r="H269" s="7">
        <v>1081.04</v>
      </c>
      <c r="I269" s="7">
        <f t="shared" si="4"/>
        <v>3859.5</v>
      </c>
    </row>
    <row r="270" spans="1:9" x14ac:dyDescent="0.35">
      <c r="A270" s="3">
        <v>45387</v>
      </c>
      <c r="B270" t="s">
        <v>9</v>
      </c>
      <c r="C270" t="s">
        <v>17</v>
      </c>
      <c r="D270" t="s">
        <v>28</v>
      </c>
      <c r="E270">
        <v>6</v>
      </c>
      <c r="F270" s="7">
        <v>1608.04</v>
      </c>
      <c r="G270" s="7">
        <v>9648.24</v>
      </c>
      <c r="H270" s="7">
        <v>1498.73</v>
      </c>
      <c r="I270" s="7">
        <f t="shared" si="4"/>
        <v>8149.51</v>
      </c>
    </row>
    <row r="271" spans="1:9" x14ac:dyDescent="0.35">
      <c r="A271" s="3">
        <v>45388</v>
      </c>
      <c r="B271" t="s">
        <v>11</v>
      </c>
      <c r="C271" t="s">
        <v>14</v>
      </c>
      <c r="D271" t="s">
        <v>21</v>
      </c>
      <c r="E271">
        <v>5</v>
      </c>
      <c r="F271" s="7">
        <v>1296.32</v>
      </c>
      <c r="G271" s="7">
        <v>6481.6</v>
      </c>
      <c r="H271" s="7">
        <v>1345.19</v>
      </c>
      <c r="I271" s="7">
        <f t="shared" si="4"/>
        <v>5136.41</v>
      </c>
    </row>
    <row r="272" spans="1:9" x14ac:dyDescent="0.35">
      <c r="A272" s="3">
        <v>45388</v>
      </c>
      <c r="B272" t="s">
        <v>8</v>
      </c>
      <c r="C272" t="s">
        <v>17</v>
      </c>
      <c r="D272" t="s">
        <v>27</v>
      </c>
      <c r="E272">
        <v>10</v>
      </c>
      <c r="F272" s="7">
        <v>647.5</v>
      </c>
      <c r="G272" s="7">
        <v>6475</v>
      </c>
      <c r="H272" s="7">
        <v>1591.92</v>
      </c>
      <c r="I272" s="7">
        <f t="shared" si="4"/>
        <v>4883.08</v>
      </c>
    </row>
    <row r="273" spans="1:9" x14ac:dyDescent="0.35">
      <c r="A273" s="3">
        <v>45389</v>
      </c>
      <c r="B273" t="s">
        <v>9</v>
      </c>
      <c r="C273" t="s">
        <v>17</v>
      </c>
      <c r="D273" t="s">
        <v>27</v>
      </c>
      <c r="E273">
        <v>9</v>
      </c>
      <c r="F273" s="7">
        <v>1189.03</v>
      </c>
      <c r="G273" s="7">
        <v>10701.27</v>
      </c>
      <c r="H273" s="7">
        <v>2479.42</v>
      </c>
      <c r="I273" s="7">
        <f t="shared" si="4"/>
        <v>8221.85</v>
      </c>
    </row>
    <row r="274" spans="1:9" x14ac:dyDescent="0.35">
      <c r="A274" s="3">
        <v>45390</v>
      </c>
      <c r="B274" t="s">
        <v>13</v>
      </c>
      <c r="C274" t="s">
        <v>16</v>
      </c>
      <c r="D274" t="s">
        <v>29</v>
      </c>
      <c r="E274">
        <v>7</v>
      </c>
      <c r="F274" s="7">
        <v>1505.73</v>
      </c>
      <c r="G274" s="7">
        <v>10540.11</v>
      </c>
      <c r="H274" s="7">
        <v>2426.67</v>
      </c>
      <c r="I274" s="7">
        <f t="shared" si="4"/>
        <v>8113.4400000000005</v>
      </c>
    </row>
    <row r="275" spans="1:9" x14ac:dyDescent="0.35">
      <c r="A275" s="3">
        <v>45390</v>
      </c>
      <c r="B275" t="s">
        <v>12</v>
      </c>
      <c r="C275" t="s">
        <v>16</v>
      </c>
      <c r="D275" t="s">
        <v>26</v>
      </c>
      <c r="E275">
        <v>3</v>
      </c>
      <c r="F275" s="7">
        <v>823.93</v>
      </c>
      <c r="G275" s="7">
        <v>2471.79</v>
      </c>
      <c r="H275" s="7">
        <v>593.75</v>
      </c>
      <c r="I275" s="7">
        <f t="shared" si="4"/>
        <v>1878.04</v>
      </c>
    </row>
    <row r="276" spans="1:9" x14ac:dyDescent="0.35">
      <c r="A276" s="3">
        <v>45390</v>
      </c>
      <c r="B276" t="s">
        <v>9</v>
      </c>
      <c r="C276" t="s">
        <v>15</v>
      </c>
      <c r="D276" t="s">
        <v>23</v>
      </c>
      <c r="E276">
        <v>2</v>
      </c>
      <c r="F276" s="7">
        <v>1001.21</v>
      </c>
      <c r="G276" s="7">
        <v>2002.42</v>
      </c>
      <c r="H276" s="7">
        <v>390.99</v>
      </c>
      <c r="I276" s="7">
        <f t="shared" si="4"/>
        <v>1611.43</v>
      </c>
    </row>
    <row r="277" spans="1:9" x14ac:dyDescent="0.35">
      <c r="A277" s="3">
        <v>45390</v>
      </c>
      <c r="B277" t="s">
        <v>8</v>
      </c>
      <c r="C277" t="s">
        <v>15</v>
      </c>
      <c r="D277" t="s">
        <v>24</v>
      </c>
      <c r="E277">
        <v>5</v>
      </c>
      <c r="F277" s="7">
        <v>1728.86</v>
      </c>
      <c r="G277" s="7">
        <v>8644.2999999999993</v>
      </c>
      <c r="H277" s="7">
        <v>985.57</v>
      </c>
      <c r="I277" s="7">
        <f t="shared" si="4"/>
        <v>7658.73</v>
      </c>
    </row>
    <row r="278" spans="1:9" x14ac:dyDescent="0.35">
      <c r="A278" s="3">
        <v>45390</v>
      </c>
      <c r="B278" t="s">
        <v>8</v>
      </c>
      <c r="C278" t="s">
        <v>16</v>
      </c>
      <c r="D278" t="s">
        <v>25</v>
      </c>
      <c r="E278">
        <v>10</v>
      </c>
      <c r="F278" s="7">
        <v>808.39</v>
      </c>
      <c r="G278" s="7">
        <v>8083.9</v>
      </c>
      <c r="H278" s="7">
        <v>1607.16</v>
      </c>
      <c r="I278" s="7">
        <f t="shared" si="4"/>
        <v>6476.74</v>
      </c>
    </row>
    <row r="279" spans="1:9" x14ac:dyDescent="0.35">
      <c r="A279" s="3">
        <v>45391</v>
      </c>
      <c r="B279" t="s">
        <v>9</v>
      </c>
      <c r="C279" t="s">
        <v>15</v>
      </c>
      <c r="D279" t="s">
        <v>22</v>
      </c>
      <c r="E279">
        <v>1</v>
      </c>
      <c r="F279" s="7">
        <v>662.45</v>
      </c>
      <c r="G279" s="7">
        <v>662.45</v>
      </c>
      <c r="H279" s="7">
        <v>160.5</v>
      </c>
      <c r="I279" s="7">
        <f t="shared" si="4"/>
        <v>501.95000000000005</v>
      </c>
    </row>
    <row r="280" spans="1:9" x14ac:dyDescent="0.35">
      <c r="A280" s="3">
        <v>45391</v>
      </c>
      <c r="B280" t="s">
        <v>11</v>
      </c>
      <c r="C280" t="s">
        <v>15</v>
      </c>
      <c r="D280" t="s">
        <v>24</v>
      </c>
      <c r="E280">
        <v>10</v>
      </c>
      <c r="F280" s="7">
        <v>1333.17</v>
      </c>
      <c r="G280" s="7">
        <v>13331.7</v>
      </c>
      <c r="H280" s="7">
        <v>2611</v>
      </c>
      <c r="I280" s="7">
        <f t="shared" si="4"/>
        <v>10720.7</v>
      </c>
    </row>
    <row r="281" spans="1:9" x14ac:dyDescent="0.35">
      <c r="A281" s="3">
        <v>45391</v>
      </c>
      <c r="B281" t="s">
        <v>11</v>
      </c>
      <c r="C281" t="s">
        <v>15</v>
      </c>
      <c r="D281" t="s">
        <v>23</v>
      </c>
      <c r="E281">
        <v>8</v>
      </c>
      <c r="F281" s="7">
        <v>989.76</v>
      </c>
      <c r="G281" s="7">
        <v>7918.08</v>
      </c>
      <c r="H281" s="7">
        <v>1750.71</v>
      </c>
      <c r="I281" s="7">
        <f t="shared" si="4"/>
        <v>6167.37</v>
      </c>
    </row>
    <row r="282" spans="1:9" x14ac:dyDescent="0.35">
      <c r="A282" s="3">
        <v>45391</v>
      </c>
      <c r="B282" t="s">
        <v>11</v>
      </c>
      <c r="C282" t="s">
        <v>15</v>
      </c>
      <c r="D282" t="s">
        <v>30</v>
      </c>
      <c r="E282">
        <v>2</v>
      </c>
      <c r="F282" s="7">
        <v>1877.23</v>
      </c>
      <c r="G282" s="7">
        <v>3754.46</v>
      </c>
      <c r="H282" s="7">
        <v>464.47</v>
      </c>
      <c r="I282" s="7">
        <f t="shared" si="4"/>
        <v>3289.99</v>
      </c>
    </row>
    <row r="283" spans="1:9" x14ac:dyDescent="0.35">
      <c r="A283" s="3">
        <v>45391</v>
      </c>
      <c r="B283" t="s">
        <v>8</v>
      </c>
      <c r="C283" t="s">
        <v>17</v>
      </c>
      <c r="D283" t="s">
        <v>27</v>
      </c>
      <c r="E283">
        <v>4</v>
      </c>
      <c r="F283" s="7">
        <v>1180.3900000000001</v>
      </c>
      <c r="G283" s="7">
        <v>4721.5600000000004</v>
      </c>
      <c r="H283" s="7">
        <v>573.91</v>
      </c>
      <c r="I283" s="7">
        <f t="shared" si="4"/>
        <v>4147.6500000000005</v>
      </c>
    </row>
    <row r="284" spans="1:9" x14ac:dyDescent="0.35">
      <c r="A284" s="3">
        <v>45392</v>
      </c>
      <c r="B284" t="s">
        <v>13</v>
      </c>
      <c r="C284" t="s">
        <v>15</v>
      </c>
      <c r="D284" t="s">
        <v>30</v>
      </c>
      <c r="E284">
        <v>3</v>
      </c>
      <c r="F284" s="7">
        <v>2021.33</v>
      </c>
      <c r="G284" s="7">
        <v>6063.99</v>
      </c>
      <c r="H284" s="7">
        <v>1074.82</v>
      </c>
      <c r="I284" s="7">
        <f t="shared" si="4"/>
        <v>4989.17</v>
      </c>
    </row>
    <row r="285" spans="1:9" x14ac:dyDescent="0.35">
      <c r="A285" s="3">
        <v>45392</v>
      </c>
      <c r="B285" t="s">
        <v>12</v>
      </c>
      <c r="C285" t="s">
        <v>15</v>
      </c>
      <c r="D285" t="s">
        <v>24</v>
      </c>
      <c r="E285">
        <v>8</v>
      </c>
      <c r="F285" s="7">
        <v>745.04</v>
      </c>
      <c r="G285" s="7">
        <v>5960.32</v>
      </c>
      <c r="H285" s="7">
        <v>997.99</v>
      </c>
      <c r="I285" s="7">
        <f t="shared" si="4"/>
        <v>4962.33</v>
      </c>
    </row>
    <row r="286" spans="1:9" x14ac:dyDescent="0.35">
      <c r="A286" s="3">
        <v>45392</v>
      </c>
      <c r="B286" t="s">
        <v>11</v>
      </c>
      <c r="C286" t="s">
        <v>14</v>
      </c>
      <c r="D286" t="s">
        <v>21</v>
      </c>
      <c r="E286">
        <v>5</v>
      </c>
      <c r="F286" s="7">
        <v>2390.77</v>
      </c>
      <c r="G286" s="7">
        <v>11953.85</v>
      </c>
      <c r="H286" s="7">
        <v>2744.9</v>
      </c>
      <c r="I286" s="7">
        <f t="shared" si="4"/>
        <v>9208.9500000000007</v>
      </c>
    </row>
    <row r="287" spans="1:9" x14ac:dyDescent="0.35">
      <c r="A287" s="3">
        <v>45393</v>
      </c>
      <c r="B287" t="s">
        <v>12</v>
      </c>
      <c r="C287" t="s">
        <v>16</v>
      </c>
      <c r="D287" t="s">
        <v>26</v>
      </c>
      <c r="E287">
        <v>10</v>
      </c>
      <c r="F287" s="7">
        <v>1942.26</v>
      </c>
      <c r="G287" s="7">
        <v>19422.599999999999</v>
      </c>
      <c r="H287" s="7">
        <v>2495.3200000000002</v>
      </c>
      <c r="I287" s="7">
        <f t="shared" si="4"/>
        <v>16927.28</v>
      </c>
    </row>
    <row r="288" spans="1:9" x14ac:dyDescent="0.35">
      <c r="A288" s="3">
        <v>45393</v>
      </c>
      <c r="B288" t="s">
        <v>13</v>
      </c>
      <c r="C288" t="s">
        <v>17</v>
      </c>
      <c r="D288" t="s">
        <v>27</v>
      </c>
      <c r="E288">
        <v>8</v>
      </c>
      <c r="F288" s="7">
        <v>2258.15</v>
      </c>
      <c r="G288" s="7">
        <v>18065.2</v>
      </c>
      <c r="H288" s="7">
        <v>3154.28</v>
      </c>
      <c r="I288" s="7">
        <f t="shared" si="4"/>
        <v>14910.92</v>
      </c>
    </row>
    <row r="289" spans="1:9" x14ac:dyDescent="0.35">
      <c r="A289" s="3">
        <v>45394</v>
      </c>
      <c r="B289" t="s">
        <v>10</v>
      </c>
      <c r="C289" t="s">
        <v>17</v>
      </c>
      <c r="D289" t="s">
        <v>28</v>
      </c>
      <c r="E289">
        <v>4</v>
      </c>
      <c r="F289" s="7">
        <v>1666.69</v>
      </c>
      <c r="G289" s="7">
        <v>6666.76</v>
      </c>
      <c r="H289" s="7">
        <v>715.33</v>
      </c>
      <c r="I289" s="7">
        <f t="shared" si="4"/>
        <v>5951.43</v>
      </c>
    </row>
    <row r="290" spans="1:9" x14ac:dyDescent="0.35">
      <c r="A290" s="3">
        <v>45394</v>
      </c>
      <c r="B290" t="s">
        <v>11</v>
      </c>
      <c r="C290" t="s">
        <v>17</v>
      </c>
      <c r="D290" t="s">
        <v>27</v>
      </c>
      <c r="E290">
        <v>5</v>
      </c>
      <c r="F290" s="7">
        <v>1573.38</v>
      </c>
      <c r="G290" s="7">
        <v>7866.9</v>
      </c>
      <c r="H290" s="7">
        <v>1786.38</v>
      </c>
      <c r="I290" s="7">
        <f t="shared" si="4"/>
        <v>6080.5199999999995</v>
      </c>
    </row>
    <row r="291" spans="1:9" x14ac:dyDescent="0.35">
      <c r="A291" s="3">
        <v>45394</v>
      </c>
      <c r="B291" t="s">
        <v>11</v>
      </c>
      <c r="C291" t="s">
        <v>16</v>
      </c>
      <c r="D291" t="s">
        <v>26</v>
      </c>
      <c r="E291">
        <v>6</v>
      </c>
      <c r="F291" s="7">
        <v>2027.71</v>
      </c>
      <c r="G291" s="7">
        <v>12166.26</v>
      </c>
      <c r="H291" s="7">
        <v>1884.44</v>
      </c>
      <c r="I291" s="7">
        <f t="shared" si="4"/>
        <v>10281.82</v>
      </c>
    </row>
    <row r="292" spans="1:9" x14ac:dyDescent="0.35">
      <c r="A292" s="3">
        <v>45394</v>
      </c>
      <c r="B292" t="s">
        <v>9</v>
      </c>
      <c r="C292" t="s">
        <v>14</v>
      </c>
      <c r="D292" t="s">
        <v>20</v>
      </c>
      <c r="E292">
        <v>6</v>
      </c>
      <c r="F292" s="7">
        <v>1606.45</v>
      </c>
      <c r="G292" s="7">
        <v>9638.7000000000007</v>
      </c>
      <c r="H292" s="7">
        <v>1070.18</v>
      </c>
      <c r="I292" s="7">
        <f t="shared" si="4"/>
        <v>8568.52</v>
      </c>
    </row>
    <row r="293" spans="1:9" x14ac:dyDescent="0.35">
      <c r="A293" s="3">
        <v>45395</v>
      </c>
      <c r="B293" t="s">
        <v>10</v>
      </c>
      <c r="C293" t="s">
        <v>15</v>
      </c>
      <c r="D293" t="s">
        <v>22</v>
      </c>
      <c r="E293">
        <v>3</v>
      </c>
      <c r="F293" s="7">
        <v>2450.17</v>
      </c>
      <c r="G293" s="7">
        <v>7350.51</v>
      </c>
      <c r="H293" s="7">
        <v>1169.3599999999999</v>
      </c>
      <c r="I293" s="7">
        <f t="shared" si="4"/>
        <v>6181.1500000000005</v>
      </c>
    </row>
    <row r="294" spans="1:9" x14ac:dyDescent="0.35">
      <c r="A294" s="3">
        <v>45395</v>
      </c>
      <c r="B294" t="s">
        <v>13</v>
      </c>
      <c r="C294" t="s">
        <v>15</v>
      </c>
      <c r="D294" t="s">
        <v>24</v>
      </c>
      <c r="E294">
        <v>4</v>
      </c>
      <c r="F294" s="7">
        <v>1704.93</v>
      </c>
      <c r="G294" s="7">
        <v>6819.72</v>
      </c>
      <c r="H294" s="7">
        <v>1092.57</v>
      </c>
      <c r="I294" s="7">
        <f t="shared" si="4"/>
        <v>5727.1500000000005</v>
      </c>
    </row>
    <row r="295" spans="1:9" x14ac:dyDescent="0.35">
      <c r="A295" s="3">
        <v>45395</v>
      </c>
      <c r="B295" t="s">
        <v>9</v>
      </c>
      <c r="C295" t="s">
        <v>14</v>
      </c>
      <c r="D295" t="s">
        <v>21</v>
      </c>
      <c r="E295">
        <v>3</v>
      </c>
      <c r="F295" s="7">
        <v>1927.18</v>
      </c>
      <c r="G295" s="7">
        <v>5781.54</v>
      </c>
      <c r="H295" s="7">
        <v>1275.3800000000001</v>
      </c>
      <c r="I295" s="7">
        <f t="shared" si="4"/>
        <v>4506.16</v>
      </c>
    </row>
    <row r="296" spans="1:9" x14ac:dyDescent="0.35">
      <c r="A296" s="3">
        <v>45395</v>
      </c>
      <c r="B296" t="s">
        <v>9</v>
      </c>
      <c r="C296" t="s">
        <v>17</v>
      </c>
      <c r="D296" t="s">
        <v>28</v>
      </c>
      <c r="E296">
        <v>10</v>
      </c>
      <c r="F296" s="7">
        <v>2286.2600000000002</v>
      </c>
      <c r="G296" s="7">
        <v>22862.6</v>
      </c>
      <c r="H296" s="7">
        <v>2765.62</v>
      </c>
      <c r="I296" s="7">
        <f t="shared" si="4"/>
        <v>20096.98</v>
      </c>
    </row>
    <row r="297" spans="1:9" x14ac:dyDescent="0.35">
      <c r="A297" s="3">
        <v>45396</v>
      </c>
      <c r="B297" t="s">
        <v>10</v>
      </c>
      <c r="C297" t="s">
        <v>16</v>
      </c>
      <c r="D297" t="s">
        <v>26</v>
      </c>
      <c r="E297">
        <v>10</v>
      </c>
      <c r="F297" s="7">
        <v>1978.64</v>
      </c>
      <c r="G297" s="7">
        <v>19786.400000000001</v>
      </c>
      <c r="H297" s="7">
        <v>2866.76</v>
      </c>
      <c r="I297" s="7">
        <f t="shared" si="4"/>
        <v>16919.64</v>
      </c>
    </row>
    <row r="298" spans="1:9" x14ac:dyDescent="0.35">
      <c r="A298" s="3">
        <v>45396</v>
      </c>
      <c r="B298" t="s">
        <v>8</v>
      </c>
      <c r="C298" t="s">
        <v>17</v>
      </c>
      <c r="D298" t="s">
        <v>27</v>
      </c>
      <c r="E298">
        <v>8</v>
      </c>
      <c r="F298" s="7">
        <v>2131.5</v>
      </c>
      <c r="G298" s="7">
        <v>17052</v>
      </c>
      <c r="H298" s="7">
        <v>2647.39</v>
      </c>
      <c r="I298" s="7">
        <f t="shared" si="4"/>
        <v>14404.61</v>
      </c>
    </row>
    <row r="299" spans="1:9" x14ac:dyDescent="0.35">
      <c r="A299" s="3">
        <v>45396</v>
      </c>
      <c r="B299" t="s">
        <v>8</v>
      </c>
      <c r="C299" t="s">
        <v>14</v>
      </c>
      <c r="D299" t="s">
        <v>19</v>
      </c>
      <c r="E299">
        <v>10</v>
      </c>
      <c r="F299" s="7">
        <v>1115.3599999999999</v>
      </c>
      <c r="G299" s="7">
        <v>11153.6</v>
      </c>
      <c r="H299" s="7">
        <v>2619.0300000000002</v>
      </c>
      <c r="I299" s="7">
        <f t="shared" si="4"/>
        <v>8534.57</v>
      </c>
    </row>
    <row r="300" spans="1:9" x14ac:dyDescent="0.35">
      <c r="A300" s="3">
        <v>45397</v>
      </c>
      <c r="B300" t="s">
        <v>9</v>
      </c>
      <c r="C300" t="s">
        <v>17</v>
      </c>
      <c r="D300" t="s">
        <v>27</v>
      </c>
      <c r="E300">
        <v>10</v>
      </c>
      <c r="F300" s="7">
        <v>1655.27</v>
      </c>
      <c r="G300" s="7">
        <v>16552.7</v>
      </c>
      <c r="H300" s="7">
        <v>3446.44</v>
      </c>
      <c r="I300" s="7">
        <f t="shared" si="4"/>
        <v>13106.26</v>
      </c>
    </row>
    <row r="301" spans="1:9" x14ac:dyDescent="0.35">
      <c r="A301" s="3">
        <v>45398</v>
      </c>
      <c r="B301" t="s">
        <v>8</v>
      </c>
      <c r="C301" t="s">
        <v>16</v>
      </c>
      <c r="D301" t="s">
        <v>25</v>
      </c>
      <c r="E301">
        <v>10</v>
      </c>
      <c r="F301" s="7">
        <v>2049.21</v>
      </c>
      <c r="G301" s="7">
        <v>20492.099999999999</v>
      </c>
      <c r="H301" s="7">
        <v>3217.84</v>
      </c>
      <c r="I301" s="7">
        <f t="shared" si="4"/>
        <v>17274.259999999998</v>
      </c>
    </row>
    <row r="302" spans="1:9" x14ac:dyDescent="0.35">
      <c r="A302" s="3">
        <v>45398</v>
      </c>
      <c r="B302" t="s">
        <v>13</v>
      </c>
      <c r="C302" t="s">
        <v>16</v>
      </c>
      <c r="D302" t="s">
        <v>29</v>
      </c>
      <c r="E302">
        <v>10</v>
      </c>
      <c r="F302" s="7">
        <v>2396.41</v>
      </c>
      <c r="G302" s="7">
        <v>23964.1</v>
      </c>
      <c r="H302" s="7">
        <v>2791.44</v>
      </c>
      <c r="I302" s="7">
        <f t="shared" si="4"/>
        <v>21172.66</v>
      </c>
    </row>
    <row r="303" spans="1:9" x14ac:dyDescent="0.35">
      <c r="A303" s="3">
        <v>45398</v>
      </c>
      <c r="B303" t="s">
        <v>11</v>
      </c>
      <c r="C303" t="s">
        <v>17</v>
      </c>
      <c r="D303" t="s">
        <v>27</v>
      </c>
      <c r="E303">
        <v>7</v>
      </c>
      <c r="F303" s="7">
        <v>802.86</v>
      </c>
      <c r="G303" s="7">
        <v>5620.02</v>
      </c>
      <c r="H303" s="7">
        <v>1144.0999999999999</v>
      </c>
      <c r="I303" s="7">
        <f t="shared" si="4"/>
        <v>4475.92</v>
      </c>
    </row>
    <row r="304" spans="1:9" x14ac:dyDescent="0.35">
      <c r="A304" s="3">
        <v>45398</v>
      </c>
      <c r="B304" t="s">
        <v>8</v>
      </c>
      <c r="C304" t="s">
        <v>17</v>
      </c>
      <c r="D304" t="s">
        <v>28</v>
      </c>
      <c r="E304">
        <v>3</v>
      </c>
      <c r="F304" s="7">
        <v>1537.37</v>
      </c>
      <c r="G304" s="7">
        <v>4612.1099999999997</v>
      </c>
      <c r="H304" s="7">
        <v>849.24</v>
      </c>
      <c r="I304" s="7">
        <f t="shared" si="4"/>
        <v>3762.87</v>
      </c>
    </row>
    <row r="305" spans="1:9" x14ac:dyDescent="0.35">
      <c r="A305" s="3">
        <v>45399</v>
      </c>
      <c r="B305" t="s">
        <v>9</v>
      </c>
      <c r="C305" t="s">
        <v>17</v>
      </c>
      <c r="D305" t="s">
        <v>27</v>
      </c>
      <c r="E305">
        <v>3</v>
      </c>
      <c r="F305" s="7">
        <v>1419.33</v>
      </c>
      <c r="G305" s="7">
        <v>4257.99</v>
      </c>
      <c r="H305" s="7">
        <v>766.31</v>
      </c>
      <c r="I305" s="7">
        <f t="shared" si="4"/>
        <v>3491.68</v>
      </c>
    </row>
    <row r="306" spans="1:9" x14ac:dyDescent="0.35">
      <c r="A306" s="3">
        <v>45399</v>
      </c>
      <c r="B306" t="s">
        <v>10</v>
      </c>
      <c r="C306" t="s">
        <v>15</v>
      </c>
      <c r="D306" t="s">
        <v>23</v>
      </c>
      <c r="E306">
        <v>10</v>
      </c>
      <c r="F306" s="7">
        <v>1468.36</v>
      </c>
      <c r="G306" s="7">
        <v>14683.6</v>
      </c>
      <c r="H306" s="7">
        <v>3576.93</v>
      </c>
      <c r="I306" s="7">
        <f t="shared" si="4"/>
        <v>11106.67</v>
      </c>
    </row>
    <row r="307" spans="1:9" x14ac:dyDescent="0.35">
      <c r="A307" s="3">
        <v>45399</v>
      </c>
      <c r="B307" t="s">
        <v>8</v>
      </c>
      <c r="C307" t="s">
        <v>15</v>
      </c>
      <c r="D307" t="s">
        <v>24</v>
      </c>
      <c r="E307">
        <v>5</v>
      </c>
      <c r="F307" s="7">
        <v>2042.35</v>
      </c>
      <c r="G307" s="7">
        <v>10211.75</v>
      </c>
      <c r="H307" s="7">
        <v>2100.92</v>
      </c>
      <c r="I307" s="7">
        <f t="shared" si="4"/>
        <v>8110.83</v>
      </c>
    </row>
    <row r="308" spans="1:9" x14ac:dyDescent="0.35">
      <c r="A308" s="3">
        <v>45399</v>
      </c>
      <c r="B308" t="s">
        <v>8</v>
      </c>
      <c r="C308" t="s">
        <v>17</v>
      </c>
      <c r="D308" t="s">
        <v>27</v>
      </c>
      <c r="E308">
        <v>8</v>
      </c>
      <c r="F308" s="7">
        <v>1197.6099999999999</v>
      </c>
      <c r="G308" s="7">
        <v>9580.8799999999992</v>
      </c>
      <c r="H308" s="7">
        <v>2299.94</v>
      </c>
      <c r="I308" s="7">
        <f t="shared" si="4"/>
        <v>7280.9399999999987</v>
      </c>
    </row>
    <row r="309" spans="1:9" x14ac:dyDescent="0.35">
      <c r="A309" s="3">
        <v>45400</v>
      </c>
      <c r="B309" t="s">
        <v>11</v>
      </c>
      <c r="C309" t="s">
        <v>15</v>
      </c>
      <c r="D309" t="s">
        <v>22</v>
      </c>
      <c r="E309">
        <v>10</v>
      </c>
      <c r="F309" s="7">
        <v>1853.24</v>
      </c>
      <c r="G309" s="7">
        <v>18532.400000000001</v>
      </c>
      <c r="H309" s="7">
        <v>2908.74</v>
      </c>
      <c r="I309" s="7">
        <f t="shared" si="4"/>
        <v>15623.660000000002</v>
      </c>
    </row>
    <row r="310" spans="1:9" x14ac:dyDescent="0.35">
      <c r="A310" s="3">
        <v>45400</v>
      </c>
      <c r="B310" t="s">
        <v>13</v>
      </c>
      <c r="C310" t="s">
        <v>15</v>
      </c>
      <c r="D310" t="s">
        <v>24</v>
      </c>
      <c r="E310">
        <v>5</v>
      </c>
      <c r="F310" s="7">
        <v>584.13</v>
      </c>
      <c r="G310" s="7">
        <v>2920.65</v>
      </c>
      <c r="H310" s="7">
        <v>710.59</v>
      </c>
      <c r="I310" s="7">
        <f t="shared" si="4"/>
        <v>2210.06</v>
      </c>
    </row>
    <row r="311" spans="1:9" x14ac:dyDescent="0.35">
      <c r="A311" s="3">
        <v>45400</v>
      </c>
      <c r="B311" t="s">
        <v>9</v>
      </c>
      <c r="C311" t="s">
        <v>15</v>
      </c>
      <c r="D311" t="s">
        <v>30</v>
      </c>
      <c r="E311">
        <v>5</v>
      </c>
      <c r="F311" s="7">
        <v>1994.68</v>
      </c>
      <c r="G311" s="7">
        <v>9973.4</v>
      </c>
      <c r="H311" s="7">
        <v>1317.47</v>
      </c>
      <c r="I311" s="7">
        <f t="shared" si="4"/>
        <v>8655.93</v>
      </c>
    </row>
    <row r="312" spans="1:9" x14ac:dyDescent="0.35">
      <c r="A312" s="3">
        <v>45401</v>
      </c>
      <c r="B312" t="s">
        <v>12</v>
      </c>
      <c r="C312" t="s">
        <v>15</v>
      </c>
      <c r="D312" t="s">
        <v>24</v>
      </c>
      <c r="E312">
        <v>2</v>
      </c>
      <c r="F312" s="7">
        <v>1731.35</v>
      </c>
      <c r="G312" s="7">
        <v>3462.7</v>
      </c>
      <c r="H312" s="7">
        <v>651.07000000000005</v>
      </c>
      <c r="I312" s="7">
        <f t="shared" si="4"/>
        <v>2811.6299999999997</v>
      </c>
    </row>
    <row r="313" spans="1:9" x14ac:dyDescent="0.35">
      <c r="A313" s="3">
        <v>45401</v>
      </c>
      <c r="B313" t="s">
        <v>8</v>
      </c>
      <c r="C313" t="s">
        <v>14</v>
      </c>
      <c r="D313" t="s">
        <v>20</v>
      </c>
      <c r="E313">
        <v>4</v>
      </c>
      <c r="F313" s="7">
        <v>604.98</v>
      </c>
      <c r="G313" s="7">
        <v>2419.92</v>
      </c>
      <c r="H313" s="7">
        <v>392.02</v>
      </c>
      <c r="I313" s="7">
        <f t="shared" si="4"/>
        <v>2027.9</v>
      </c>
    </row>
    <row r="314" spans="1:9" x14ac:dyDescent="0.35">
      <c r="A314" s="3">
        <v>45401</v>
      </c>
      <c r="B314" t="s">
        <v>12</v>
      </c>
      <c r="C314" t="s">
        <v>17</v>
      </c>
      <c r="D314" t="s">
        <v>28</v>
      </c>
      <c r="E314">
        <v>3</v>
      </c>
      <c r="F314" s="7">
        <v>510.36</v>
      </c>
      <c r="G314" s="7">
        <v>1531.08</v>
      </c>
      <c r="H314" s="7">
        <v>279.5</v>
      </c>
      <c r="I314" s="7">
        <f t="shared" si="4"/>
        <v>1251.58</v>
      </c>
    </row>
    <row r="315" spans="1:9" x14ac:dyDescent="0.35">
      <c r="A315" s="3">
        <v>45402</v>
      </c>
      <c r="B315" t="s">
        <v>10</v>
      </c>
      <c r="C315" t="s">
        <v>17</v>
      </c>
      <c r="D315" t="s">
        <v>27</v>
      </c>
      <c r="E315">
        <v>4</v>
      </c>
      <c r="F315" s="7">
        <v>2011.82</v>
      </c>
      <c r="G315" s="7">
        <v>8047.28</v>
      </c>
      <c r="H315" s="7">
        <v>1151.46</v>
      </c>
      <c r="I315" s="7">
        <f t="shared" si="4"/>
        <v>6895.82</v>
      </c>
    </row>
    <row r="316" spans="1:9" x14ac:dyDescent="0.35">
      <c r="A316" s="3">
        <v>45402</v>
      </c>
      <c r="B316" t="s">
        <v>13</v>
      </c>
      <c r="C316" t="s">
        <v>14</v>
      </c>
      <c r="D316" t="s">
        <v>21</v>
      </c>
      <c r="E316">
        <v>10</v>
      </c>
      <c r="F316" s="7">
        <v>964.44</v>
      </c>
      <c r="G316" s="7">
        <v>9644.4</v>
      </c>
      <c r="H316" s="7">
        <v>2033.07</v>
      </c>
      <c r="I316" s="7">
        <f t="shared" si="4"/>
        <v>7611.33</v>
      </c>
    </row>
    <row r="317" spans="1:9" x14ac:dyDescent="0.35">
      <c r="A317" s="3">
        <v>45402</v>
      </c>
      <c r="B317" t="s">
        <v>11</v>
      </c>
      <c r="C317" t="s">
        <v>16</v>
      </c>
      <c r="D317" t="s">
        <v>26</v>
      </c>
      <c r="E317">
        <v>3</v>
      </c>
      <c r="F317" s="7">
        <v>2367.85</v>
      </c>
      <c r="G317" s="7">
        <v>7103.55</v>
      </c>
      <c r="H317" s="7">
        <v>749.08</v>
      </c>
      <c r="I317" s="7">
        <f t="shared" si="4"/>
        <v>6354.47</v>
      </c>
    </row>
    <row r="318" spans="1:9" x14ac:dyDescent="0.35">
      <c r="A318" s="3">
        <v>45402</v>
      </c>
      <c r="B318" t="s">
        <v>9</v>
      </c>
      <c r="C318" t="s">
        <v>17</v>
      </c>
      <c r="D318" t="s">
        <v>28</v>
      </c>
      <c r="E318">
        <v>5</v>
      </c>
      <c r="F318" s="7">
        <v>2253.4899999999998</v>
      </c>
      <c r="G318" s="7">
        <v>11267.45</v>
      </c>
      <c r="H318" s="7">
        <v>1142.4100000000001</v>
      </c>
      <c r="I318" s="7">
        <f t="shared" si="4"/>
        <v>10125.040000000001</v>
      </c>
    </row>
    <row r="319" spans="1:9" x14ac:dyDescent="0.35">
      <c r="A319" s="3">
        <v>45403</v>
      </c>
      <c r="B319" t="s">
        <v>9</v>
      </c>
      <c r="C319" t="s">
        <v>14</v>
      </c>
      <c r="D319" t="s">
        <v>18</v>
      </c>
      <c r="E319">
        <v>5</v>
      </c>
      <c r="F319" s="7">
        <v>1408.7</v>
      </c>
      <c r="G319" s="7">
        <v>7043.5</v>
      </c>
      <c r="H319" s="7">
        <v>1381.91</v>
      </c>
      <c r="I319" s="7">
        <f t="shared" si="4"/>
        <v>5661.59</v>
      </c>
    </row>
    <row r="320" spans="1:9" x14ac:dyDescent="0.35">
      <c r="A320" s="3">
        <v>45403</v>
      </c>
      <c r="B320" t="s">
        <v>13</v>
      </c>
      <c r="C320" t="s">
        <v>17</v>
      </c>
      <c r="D320" t="s">
        <v>28</v>
      </c>
      <c r="E320">
        <v>9</v>
      </c>
      <c r="F320" s="7">
        <v>1436.04</v>
      </c>
      <c r="G320" s="7">
        <v>12924.36</v>
      </c>
      <c r="H320" s="7">
        <v>1666.23</v>
      </c>
      <c r="I320" s="7">
        <f t="shared" si="4"/>
        <v>11258.130000000001</v>
      </c>
    </row>
    <row r="321" spans="1:9" x14ac:dyDescent="0.35">
      <c r="A321" s="3">
        <v>45403</v>
      </c>
      <c r="B321" t="s">
        <v>13</v>
      </c>
      <c r="C321" t="s">
        <v>15</v>
      </c>
      <c r="D321" t="s">
        <v>24</v>
      </c>
      <c r="E321">
        <v>8</v>
      </c>
      <c r="F321" s="7">
        <v>1796.57</v>
      </c>
      <c r="G321" s="7">
        <v>14372.56</v>
      </c>
      <c r="H321" s="7">
        <v>2986.47</v>
      </c>
      <c r="I321" s="7">
        <f t="shared" si="4"/>
        <v>11386.09</v>
      </c>
    </row>
    <row r="322" spans="1:9" x14ac:dyDescent="0.35">
      <c r="A322" s="3">
        <v>45403</v>
      </c>
      <c r="B322" t="s">
        <v>9</v>
      </c>
      <c r="C322" t="s">
        <v>15</v>
      </c>
      <c r="D322" t="s">
        <v>23</v>
      </c>
      <c r="E322">
        <v>10</v>
      </c>
      <c r="F322" s="7">
        <v>1848.8</v>
      </c>
      <c r="G322" s="7">
        <v>18488</v>
      </c>
      <c r="H322" s="7">
        <v>2384.4699999999998</v>
      </c>
      <c r="I322" s="7">
        <f t="shared" si="4"/>
        <v>16103.53</v>
      </c>
    </row>
    <row r="323" spans="1:9" x14ac:dyDescent="0.35">
      <c r="A323" s="3">
        <v>45403</v>
      </c>
      <c r="B323" t="s">
        <v>13</v>
      </c>
      <c r="C323" t="s">
        <v>17</v>
      </c>
      <c r="D323" t="s">
        <v>27</v>
      </c>
      <c r="E323">
        <v>9</v>
      </c>
      <c r="F323" s="7">
        <v>1155.8499999999999</v>
      </c>
      <c r="G323" s="7">
        <v>10402.65</v>
      </c>
      <c r="H323" s="7">
        <v>1665.72</v>
      </c>
      <c r="I323" s="7">
        <f t="shared" ref="I323:I386" si="5">G323-H323</f>
        <v>8736.93</v>
      </c>
    </row>
    <row r="324" spans="1:9" x14ac:dyDescent="0.35">
      <c r="A324" s="3">
        <v>45404</v>
      </c>
      <c r="B324" t="s">
        <v>11</v>
      </c>
      <c r="C324" t="s">
        <v>16</v>
      </c>
      <c r="D324" t="s">
        <v>26</v>
      </c>
      <c r="E324">
        <v>6</v>
      </c>
      <c r="F324" s="7">
        <v>2371.65</v>
      </c>
      <c r="G324" s="7">
        <v>14229.9</v>
      </c>
      <c r="H324" s="7">
        <v>1437.57</v>
      </c>
      <c r="I324" s="7">
        <f t="shared" si="5"/>
        <v>12792.33</v>
      </c>
    </row>
    <row r="325" spans="1:9" x14ac:dyDescent="0.35">
      <c r="A325" s="3">
        <v>45404</v>
      </c>
      <c r="B325" t="s">
        <v>8</v>
      </c>
      <c r="C325" t="s">
        <v>16</v>
      </c>
      <c r="D325" t="s">
        <v>26</v>
      </c>
      <c r="E325">
        <v>5</v>
      </c>
      <c r="F325" s="7">
        <v>2408.0700000000002</v>
      </c>
      <c r="G325" s="7">
        <v>12040.35</v>
      </c>
      <c r="H325" s="7">
        <v>1749.37</v>
      </c>
      <c r="I325" s="7">
        <f t="shared" si="5"/>
        <v>10290.98</v>
      </c>
    </row>
    <row r="326" spans="1:9" x14ac:dyDescent="0.35">
      <c r="A326" s="3">
        <v>45405</v>
      </c>
      <c r="B326" t="s">
        <v>13</v>
      </c>
      <c r="C326" t="s">
        <v>14</v>
      </c>
      <c r="D326" t="s">
        <v>18</v>
      </c>
      <c r="E326">
        <v>6</v>
      </c>
      <c r="F326" s="7">
        <v>1885.54</v>
      </c>
      <c r="G326" s="7">
        <v>11313.24</v>
      </c>
      <c r="H326" s="7">
        <v>1236.75</v>
      </c>
      <c r="I326" s="7">
        <f t="shared" si="5"/>
        <v>10076.49</v>
      </c>
    </row>
    <row r="327" spans="1:9" x14ac:dyDescent="0.35">
      <c r="A327" s="3">
        <v>45405</v>
      </c>
      <c r="B327" t="s">
        <v>8</v>
      </c>
      <c r="C327" t="s">
        <v>17</v>
      </c>
      <c r="D327" t="s">
        <v>27</v>
      </c>
      <c r="E327">
        <v>3</v>
      </c>
      <c r="F327" s="7">
        <v>1310.83</v>
      </c>
      <c r="G327" s="7">
        <v>3932.49</v>
      </c>
      <c r="H327" s="7">
        <v>689.67</v>
      </c>
      <c r="I327" s="7">
        <f t="shared" si="5"/>
        <v>3242.8199999999997</v>
      </c>
    </row>
    <row r="328" spans="1:9" x14ac:dyDescent="0.35">
      <c r="A328" s="3">
        <v>45405</v>
      </c>
      <c r="B328" t="s">
        <v>12</v>
      </c>
      <c r="C328" t="s">
        <v>15</v>
      </c>
      <c r="D328" t="s">
        <v>22</v>
      </c>
      <c r="E328">
        <v>5</v>
      </c>
      <c r="F328" s="7">
        <v>1235.0899999999999</v>
      </c>
      <c r="G328" s="7">
        <v>6175.45</v>
      </c>
      <c r="H328" s="7">
        <v>822.12</v>
      </c>
      <c r="I328" s="7">
        <f t="shared" si="5"/>
        <v>5353.33</v>
      </c>
    </row>
    <row r="329" spans="1:9" x14ac:dyDescent="0.35">
      <c r="A329" s="3">
        <v>45405</v>
      </c>
      <c r="B329" t="s">
        <v>11</v>
      </c>
      <c r="C329" t="s">
        <v>17</v>
      </c>
      <c r="D329" t="s">
        <v>28</v>
      </c>
      <c r="E329">
        <v>8</v>
      </c>
      <c r="F329" s="7">
        <v>1995.47</v>
      </c>
      <c r="G329" s="7">
        <v>15963.76</v>
      </c>
      <c r="H329" s="7">
        <v>3046.86</v>
      </c>
      <c r="I329" s="7">
        <f t="shared" si="5"/>
        <v>12916.9</v>
      </c>
    </row>
    <row r="330" spans="1:9" x14ac:dyDescent="0.35">
      <c r="A330" s="3">
        <v>45405</v>
      </c>
      <c r="B330" t="s">
        <v>13</v>
      </c>
      <c r="C330" t="s">
        <v>17</v>
      </c>
      <c r="D330" t="s">
        <v>28</v>
      </c>
      <c r="E330">
        <v>4</v>
      </c>
      <c r="F330" s="7">
        <v>1860.68</v>
      </c>
      <c r="G330" s="7">
        <v>7442.72</v>
      </c>
      <c r="H330" s="7">
        <v>1409.44</v>
      </c>
      <c r="I330" s="7">
        <f t="shared" si="5"/>
        <v>6033.2800000000007</v>
      </c>
    </row>
    <row r="331" spans="1:9" x14ac:dyDescent="0.35">
      <c r="A331" s="3">
        <v>45406</v>
      </c>
      <c r="B331" t="s">
        <v>9</v>
      </c>
      <c r="C331" t="s">
        <v>17</v>
      </c>
      <c r="D331" t="s">
        <v>27</v>
      </c>
      <c r="E331">
        <v>2</v>
      </c>
      <c r="F331" s="7">
        <v>2334.4899999999998</v>
      </c>
      <c r="G331" s="7">
        <v>4668.9799999999996</v>
      </c>
      <c r="H331" s="7">
        <v>545.48</v>
      </c>
      <c r="I331" s="7">
        <f t="shared" si="5"/>
        <v>4123.5</v>
      </c>
    </row>
    <row r="332" spans="1:9" x14ac:dyDescent="0.35">
      <c r="A332" s="3">
        <v>45406</v>
      </c>
      <c r="B332" t="s">
        <v>9</v>
      </c>
      <c r="C332" t="s">
        <v>16</v>
      </c>
      <c r="D332" t="s">
        <v>25</v>
      </c>
      <c r="E332">
        <v>9</v>
      </c>
      <c r="F332" s="7">
        <v>799.7</v>
      </c>
      <c r="G332" s="7">
        <v>7197.3</v>
      </c>
      <c r="H332" s="7">
        <v>1073.96</v>
      </c>
      <c r="I332" s="7">
        <f t="shared" si="5"/>
        <v>6123.34</v>
      </c>
    </row>
    <row r="333" spans="1:9" x14ac:dyDescent="0.35">
      <c r="A333" s="3">
        <v>45406</v>
      </c>
      <c r="B333" t="s">
        <v>9</v>
      </c>
      <c r="C333" t="s">
        <v>17</v>
      </c>
      <c r="D333" t="s">
        <v>28</v>
      </c>
      <c r="E333">
        <v>4</v>
      </c>
      <c r="F333" s="7">
        <v>1933.84</v>
      </c>
      <c r="G333" s="7">
        <v>7735.36</v>
      </c>
      <c r="H333" s="7">
        <v>1340.73</v>
      </c>
      <c r="I333" s="7">
        <f t="shared" si="5"/>
        <v>6394.6299999999992</v>
      </c>
    </row>
    <row r="334" spans="1:9" x14ac:dyDescent="0.35">
      <c r="A334" s="3">
        <v>45406</v>
      </c>
      <c r="B334" t="s">
        <v>9</v>
      </c>
      <c r="C334" t="s">
        <v>17</v>
      </c>
      <c r="D334" t="s">
        <v>28</v>
      </c>
      <c r="E334">
        <v>8</v>
      </c>
      <c r="F334" s="7">
        <v>763.89</v>
      </c>
      <c r="G334" s="7">
        <v>6111.12</v>
      </c>
      <c r="H334" s="7">
        <v>991.92</v>
      </c>
      <c r="I334" s="7">
        <f t="shared" si="5"/>
        <v>5119.2</v>
      </c>
    </row>
    <row r="335" spans="1:9" x14ac:dyDescent="0.35">
      <c r="A335" s="3">
        <v>45406</v>
      </c>
      <c r="B335" t="s">
        <v>13</v>
      </c>
      <c r="C335" t="s">
        <v>14</v>
      </c>
      <c r="D335" t="s">
        <v>19</v>
      </c>
      <c r="E335">
        <v>5</v>
      </c>
      <c r="F335" s="7">
        <v>1946.56</v>
      </c>
      <c r="G335" s="7">
        <v>9732.7999999999993</v>
      </c>
      <c r="H335" s="7">
        <v>1551.33</v>
      </c>
      <c r="I335" s="7">
        <f t="shared" si="5"/>
        <v>8181.4699999999993</v>
      </c>
    </row>
    <row r="336" spans="1:9" x14ac:dyDescent="0.35">
      <c r="A336" s="3">
        <v>45407</v>
      </c>
      <c r="B336" t="s">
        <v>13</v>
      </c>
      <c r="C336" t="s">
        <v>14</v>
      </c>
      <c r="D336" t="s">
        <v>21</v>
      </c>
      <c r="E336">
        <v>7</v>
      </c>
      <c r="F336" s="7">
        <v>1189.06</v>
      </c>
      <c r="G336" s="7">
        <v>8323.42</v>
      </c>
      <c r="H336" s="7">
        <v>911.95</v>
      </c>
      <c r="I336" s="7">
        <f t="shared" si="5"/>
        <v>7411.47</v>
      </c>
    </row>
    <row r="337" spans="1:9" x14ac:dyDescent="0.35">
      <c r="A337" s="3">
        <v>45407</v>
      </c>
      <c r="B337" t="s">
        <v>12</v>
      </c>
      <c r="C337" t="s">
        <v>14</v>
      </c>
      <c r="D337" t="s">
        <v>19</v>
      </c>
      <c r="E337">
        <v>1</v>
      </c>
      <c r="F337" s="7">
        <v>1074.18</v>
      </c>
      <c r="G337" s="7">
        <v>1074.18</v>
      </c>
      <c r="H337" s="7">
        <v>136.41999999999999</v>
      </c>
      <c r="I337" s="7">
        <f t="shared" si="5"/>
        <v>937.7600000000001</v>
      </c>
    </row>
    <row r="338" spans="1:9" x14ac:dyDescent="0.35">
      <c r="A338" s="3">
        <v>45408</v>
      </c>
      <c r="B338" t="s">
        <v>11</v>
      </c>
      <c r="C338" t="s">
        <v>15</v>
      </c>
      <c r="D338" t="s">
        <v>30</v>
      </c>
      <c r="E338">
        <v>8</v>
      </c>
      <c r="F338" s="7">
        <v>2239.2399999999998</v>
      </c>
      <c r="G338" s="7">
        <v>17913.919999999998</v>
      </c>
      <c r="H338" s="7">
        <v>4227.96</v>
      </c>
      <c r="I338" s="7">
        <f t="shared" si="5"/>
        <v>13685.96</v>
      </c>
    </row>
    <row r="339" spans="1:9" x14ac:dyDescent="0.35">
      <c r="A339" s="3">
        <v>45408</v>
      </c>
      <c r="B339" t="s">
        <v>11</v>
      </c>
      <c r="C339" t="s">
        <v>14</v>
      </c>
      <c r="D339" t="s">
        <v>20</v>
      </c>
      <c r="E339">
        <v>6</v>
      </c>
      <c r="F339" s="7">
        <v>737.27</v>
      </c>
      <c r="G339" s="7">
        <v>4423.62</v>
      </c>
      <c r="H339" s="7">
        <v>1101.1600000000001</v>
      </c>
      <c r="I339" s="7">
        <f t="shared" si="5"/>
        <v>3322.46</v>
      </c>
    </row>
    <row r="340" spans="1:9" x14ac:dyDescent="0.35">
      <c r="A340" s="3">
        <v>45408</v>
      </c>
      <c r="B340" t="s">
        <v>10</v>
      </c>
      <c r="C340" t="s">
        <v>16</v>
      </c>
      <c r="D340" t="s">
        <v>25</v>
      </c>
      <c r="E340">
        <v>4</v>
      </c>
      <c r="F340" s="7">
        <v>2169.64</v>
      </c>
      <c r="G340" s="7">
        <v>8678.56</v>
      </c>
      <c r="H340" s="7">
        <v>1852.24</v>
      </c>
      <c r="I340" s="7">
        <f t="shared" si="5"/>
        <v>6826.32</v>
      </c>
    </row>
    <row r="341" spans="1:9" x14ac:dyDescent="0.35">
      <c r="A341" s="3">
        <v>45408</v>
      </c>
      <c r="B341" t="s">
        <v>11</v>
      </c>
      <c r="C341" t="s">
        <v>17</v>
      </c>
      <c r="D341" t="s">
        <v>27</v>
      </c>
      <c r="E341">
        <v>9</v>
      </c>
      <c r="F341" s="7">
        <v>1258.55</v>
      </c>
      <c r="G341" s="7">
        <v>11326.95</v>
      </c>
      <c r="H341" s="7">
        <v>1522.9</v>
      </c>
      <c r="I341" s="7">
        <f t="shared" si="5"/>
        <v>9804.0500000000011</v>
      </c>
    </row>
    <row r="342" spans="1:9" x14ac:dyDescent="0.35">
      <c r="A342" s="3">
        <v>45409</v>
      </c>
      <c r="B342" t="s">
        <v>13</v>
      </c>
      <c r="C342" t="s">
        <v>16</v>
      </c>
      <c r="D342" t="s">
        <v>26</v>
      </c>
      <c r="E342">
        <v>4</v>
      </c>
      <c r="F342" s="7">
        <v>2374.8200000000002</v>
      </c>
      <c r="G342" s="7">
        <v>9499.2800000000007</v>
      </c>
      <c r="H342" s="7">
        <v>1983.01</v>
      </c>
      <c r="I342" s="7">
        <f t="shared" si="5"/>
        <v>7516.27</v>
      </c>
    </row>
    <row r="343" spans="1:9" x14ac:dyDescent="0.35">
      <c r="A343" s="3">
        <v>45409</v>
      </c>
      <c r="B343" t="s">
        <v>13</v>
      </c>
      <c r="C343" t="s">
        <v>14</v>
      </c>
      <c r="D343" t="s">
        <v>19</v>
      </c>
      <c r="E343">
        <v>10</v>
      </c>
      <c r="F343" s="7">
        <v>2032.11</v>
      </c>
      <c r="G343" s="7">
        <v>20321.099999999999</v>
      </c>
      <c r="H343" s="7">
        <v>4725.95</v>
      </c>
      <c r="I343" s="7">
        <f t="shared" si="5"/>
        <v>15595.149999999998</v>
      </c>
    </row>
    <row r="344" spans="1:9" x14ac:dyDescent="0.35">
      <c r="A344" s="3">
        <v>45409</v>
      </c>
      <c r="B344" t="s">
        <v>9</v>
      </c>
      <c r="C344" t="s">
        <v>16</v>
      </c>
      <c r="D344" t="s">
        <v>29</v>
      </c>
      <c r="E344">
        <v>2</v>
      </c>
      <c r="F344" s="7">
        <v>701.79</v>
      </c>
      <c r="G344" s="7">
        <v>1403.58</v>
      </c>
      <c r="H344" s="7">
        <v>147.43</v>
      </c>
      <c r="I344" s="7">
        <f t="shared" si="5"/>
        <v>1256.1499999999999</v>
      </c>
    </row>
    <row r="345" spans="1:9" x14ac:dyDescent="0.35">
      <c r="A345" s="3">
        <v>45410</v>
      </c>
      <c r="B345" t="s">
        <v>12</v>
      </c>
      <c r="C345" t="s">
        <v>16</v>
      </c>
      <c r="D345" t="s">
        <v>25</v>
      </c>
      <c r="E345">
        <v>1</v>
      </c>
      <c r="F345" s="7">
        <v>1304.53</v>
      </c>
      <c r="G345" s="7">
        <v>1304.53</v>
      </c>
      <c r="H345" s="7">
        <v>176.31</v>
      </c>
      <c r="I345" s="7">
        <f t="shared" si="5"/>
        <v>1128.22</v>
      </c>
    </row>
    <row r="346" spans="1:9" x14ac:dyDescent="0.35">
      <c r="A346" s="3">
        <v>45411</v>
      </c>
      <c r="B346" t="s">
        <v>9</v>
      </c>
      <c r="C346" t="s">
        <v>16</v>
      </c>
      <c r="D346" t="s">
        <v>25</v>
      </c>
      <c r="E346">
        <v>5</v>
      </c>
      <c r="F346" s="7">
        <v>968.32</v>
      </c>
      <c r="G346" s="7">
        <v>4841.6000000000004</v>
      </c>
      <c r="H346" s="7">
        <v>1149.68</v>
      </c>
      <c r="I346" s="7">
        <f t="shared" si="5"/>
        <v>3691.92</v>
      </c>
    </row>
    <row r="347" spans="1:9" x14ac:dyDescent="0.35">
      <c r="A347" s="3">
        <v>45412</v>
      </c>
      <c r="B347" t="s">
        <v>9</v>
      </c>
      <c r="C347" t="s">
        <v>15</v>
      </c>
      <c r="D347" t="s">
        <v>24</v>
      </c>
      <c r="E347">
        <v>5</v>
      </c>
      <c r="F347" s="7">
        <v>2252.52</v>
      </c>
      <c r="G347" s="7">
        <v>11262.6</v>
      </c>
      <c r="H347" s="7">
        <v>2791.48</v>
      </c>
      <c r="I347" s="7">
        <f t="shared" si="5"/>
        <v>8471.1200000000008</v>
      </c>
    </row>
    <row r="348" spans="1:9" x14ac:dyDescent="0.35">
      <c r="A348" s="3">
        <v>45412</v>
      </c>
      <c r="B348" t="s">
        <v>9</v>
      </c>
      <c r="C348" t="s">
        <v>16</v>
      </c>
      <c r="D348" t="s">
        <v>26</v>
      </c>
      <c r="E348">
        <v>5</v>
      </c>
      <c r="F348" s="7">
        <v>1050.31</v>
      </c>
      <c r="G348" s="7">
        <v>5251.55</v>
      </c>
      <c r="H348" s="7">
        <v>963.7</v>
      </c>
      <c r="I348" s="7">
        <f t="shared" si="5"/>
        <v>4287.8500000000004</v>
      </c>
    </row>
    <row r="349" spans="1:9" x14ac:dyDescent="0.35">
      <c r="A349" s="3">
        <v>45412</v>
      </c>
      <c r="B349" t="s">
        <v>10</v>
      </c>
      <c r="C349" t="s">
        <v>16</v>
      </c>
      <c r="D349" t="s">
        <v>25</v>
      </c>
      <c r="E349">
        <v>7</v>
      </c>
      <c r="F349" s="7">
        <v>1611.7</v>
      </c>
      <c r="G349" s="7">
        <v>11281.9</v>
      </c>
      <c r="H349" s="7">
        <v>1207.53</v>
      </c>
      <c r="I349" s="7">
        <f t="shared" si="5"/>
        <v>10074.369999999999</v>
      </c>
    </row>
    <row r="350" spans="1:9" x14ac:dyDescent="0.35">
      <c r="A350" s="3">
        <v>45413</v>
      </c>
      <c r="B350" t="s">
        <v>9</v>
      </c>
      <c r="C350" t="s">
        <v>15</v>
      </c>
      <c r="D350" t="s">
        <v>30</v>
      </c>
      <c r="E350">
        <v>7</v>
      </c>
      <c r="F350" s="7">
        <v>798.44</v>
      </c>
      <c r="G350" s="7">
        <v>5589.08</v>
      </c>
      <c r="H350" s="7">
        <v>874.52</v>
      </c>
      <c r="I350" s="7">
        <f t="shared" si="5"/>
        <v>4714.5599999999995</v>
      </c>
    </row>
    <row r="351" spans="1:9" x14ac:dyDescent="0.35">
      <c r="A351" s="3">
        <v>45413</v>
      </c>
      <c r="B351" t="s">
        <v>11</v>
      </c>
      <c r="C351" t="s">
        <v>17</v>
      </c>
      <c r="D351" t="s">
        <v>28</v>
      </c>
      <c r="E351">
        <v>4</v>
      </c>
      <c r="F351" s="7">
        <v>1101.47</v>
      </c>
      <c r="G351" s="7">
        <v>4405.88</v>
      </c>
      <c r="H351" s="7">
        <v>908.21</v>
      </c>
      <c r="I351" s="7">
        <f t="shared" si="5"/>
        <v>3497.67</v>
      </c>
    </row>
    <row r="352" spans="1:9" x14ac:dyDescent="0.35">
      <c r="A352" s="3">
        <v>45413</v>
      </c>
      <c r="B352" t="s">
        <v>12</v>
      </c>
      <c r="C352" t="s">
        <v>14</v>
      </c>
      <c r="D352" t="s">
        <v>19</v>
      </c>
      <c r="E352">
        <v>7</v>
      </c>
      <c r="F352" s="7">
        <v>1614.57</v>
      </c>
      <c r="G352" s="7">
        <v>11301.99</v>
      </c>
      <c r="H352" s="7">
        <v>1357.53</v>
      </c>
      <c r="I352" s="7">
        <f t="shared" si="5"/>
        <v>9944.4599999999991</v>
      </c>
    </row>
    <row r="353" spans="1:9" x14ac:dyDescent="0.35">
      <c r="A353" s="3">
        <v>45413</v>
      </c>
      <c r="B353" t="s">
        <v>10</v>
      </c>
      <c r="C353" t="s">
        <v>15</v>
      </c>
      <c r="D353" t="s">
        <v>24</v>
      </c>
      <c r="E353">
        <v>6</v>
      </c>
      <c r="F353" s="7">
        <v>1793.41</v>
      </c>
      <c r="G353" s="7">
        <v>10760.46</v>
      </c>
      <c r="H353" s="7">
        <v>2564.58</v>
      </c>
      <c r="I353" s="7">
        <f t="shared" si="5"/>
        <v>8195.8799999999992</v>
      </c>
    </row>
    <row r="354" spans="1:9" x14ac:dyDescent="0.35">
      <c r="A354" s="3">
        <v>45414</v>
      </c>
      <c r="B354" t="s">
        <v>13</v>
      </c>
      <c r="C354" t="s">
        <v>16</v>
      </c>
      <c r="D354" t="s">
        <v>29</v>
      </c>
      <c r="E354">
        <v>5</v>
      </c>
      <c r="F354" s="7">
        <v>1254.3399999999999</v>
      </c>
      <c r="G354" s="7">
        <v>6271.7</v>
      </c>
      <c r="H354" s="7">
        <v>1196.3</v>
      </c>
      <c r="I354" s="7">
        <f t="shared" si="5"/>
        <v>5075.3999999999996</v>
      </c>
    </row>
    <row r="355" spans="1:9" x14ac:dyDescent="0.35">
      <c r="A355" s="3">
        <v>45415</v>
      </c>
      <c r="B355" t="s">
        <v>10</v>
      </c>
      <c r="C355" t="s">
        <v>16</v>
      </c>
      <c r="D355" t="s">
        <v>25</v>
      </c>
      <c r="E355">
        <v>9</v>
      </c>
      <c r="F355" s="7">
        <v>934.03</v>
      </c>
      <c r="G355" s="7">
        <v>8406.27</v>
      </c>
      <c r="H355" s="7">
        <v>1104.02</v>
      </c>
      <c r="I355" s="7">
        <f t="shared" si="5"/>
        <v>7302.25</v>
      </c>
    </row>
    <row r="356" spans="1:9" x14ac:dyDescent="0.35">
      <c r="A356" s="3">
        <v>45416</v>
      </c>
      <c r="B356" t="s">
        <v>11</v>
      </c>
      <c r="C356" t="s">
        <v>14</v>
      </c>
      <c r="D356" t="s">
        <v>20</v>
      </c>
      <c r="E356">
        <v>4</v>
      </c>
      <c r="F356" s="7">
        <v>2424.16</v>
      </c>
      <c r="G356" s="7">
        <v>9696.64</v>
      </c>
      <c r="H356" s="7">
        <v>1140.3</v>
      </c>
      <c r="I356" s="7">
        <f t="shared" si="5"/>
        <v>8556.34</v>
      </c>
    </row>
    <row r="357" spans="1:9" x14ac:dyDescent="0.35">
      <c r="A357" s="3">
        <v>45416</v>
      </c>
      <c r="B357" t="s">
        <v>12</v>
      </c>
      <c r="C357" t="s">
        <v>16</v>
      </c>
      <c r="D357" t="s">
        <v>25</v>
      </c>
      <c r="E357">
        <v>10</v>
      </c>
      <c r="F357" s="7">
        <v>1907.54</v>
      </c>
      <c r="G357" s="7">
        <v>19075.400000000001</v>
      </c>
      <c r="H357" s="7">
        <v>3042.43</v>
      </c>
      <c r="I357" s="7">
        <f t="shared" si="5"/>
        <v>16032.970000000001</v>
      </c>
    </row>
    <row r="358" spans="1:9" x14ac:dyDescent="0.35">
      <c r="A358" s="3">
        <v>45416</v>
      </c>
      <c r="B358" t="s">
        <v>10</v>
      </c>
      <c r="C358" t="s">
        <v>15</v>
      </c>
      <c r="D358" t="s">
        <v>23</v>
      </c>
      <c r="E358">
        <v>7</v>
      </c>
      <c r="F358" s="7">
        <v>1432.5</v>
      </c>
      <c r="G358" s="7">
        <v>10027.5</v>
      </c>
      <c r="H358" s="7">
        <v>1978.51</v>
      </c>
      <c r="I358" s="7">
        <f t="shared" si="5"/>
        <v>8048.99</v>
      </c>
    </row>
    <row r="359" spans="1:9" x14ac:dyDescent="0.35">
      <c r="A359" s="3">
        <v>45417</v>
      </c>
      <c r="B359" t="s">
        <v>11</v>
      </c>
      <c r="C359" t="s">
        <v>15</v>
      </c>
      <c r="D359" t="s">
        <v>30</v>
      </c>
      <c r="E359">
        <v>8</v>
      </c>
      <c r="F359" s="7">
        <v>697.22</v>
      </c>
      <c r="G359" s="7">
        <v>5577.76</v>
      </c>
      <c r="H359" s="7">
        <v>1378.81</v>
      </c>
      <c r="I359" s="7">
        <f t="shared" si="5"/>
        <v>4198.9500000000007</v>
      </c>
    </row>
    <row r="360" spans="1:9" x14ac:dyDescent="0.35">
      <c r="A360" s="3">
        <v>45417</v>
      </c>
      <c r="B360" t="s">
        <v>12</v>
      </c>
      <c r="C360" t="s">
        <v>15</v>
      </c>
      <c r="D360" t="s">
        <v>24</v>
      </c>
      <c r="E360">
        <v>6</v>
      </c>
      <c r="F360" s="7">
        <v>1125.8399999999999</v>
      </c>
      <c r="G360" s="7">
        <v>6755.04</v>
      </c>
      <c r="H360" s="7">
        <v>721.83</v>
      </c>
      <c r="I360" s="7">
        <f t="shared" si="5"/>
        <v>6033.21</v>
      </c>
    </row>
    <row r="361" spans="1:9" x14ac:dyDescent="0.35">
      <c r="A361" s="3">
        <v>45417</v>
      </c>
      <c r="B361" t="s">
        <v>8</v>
      </c>
      <c r="C361" t="s">
        <v>16</v>
      </c>
      <c r="D361" t="s">
        <v>29</v>
      </c>
      <c r="E361">
        <v>5</v>
      </c>
      <c r="F361" s="7">
        <v>1606.62</v>
      </c>
      <c r="G361" s="7">
        <v>8033.1</v>
      </c>
      <c r="H361" s="7">
        <v>1507.05</v>
      </c>
      <c r="I361" s="7">
        <f t="shared" si="5"/>
        <v>6526.05</v>
      </c>
    </row>
    <row r="362" spans="1:9" x14ac:dyDescent="0.35">
      <c r="A362" s="3">
        <v>45418</v>
      </c>
      <c r="B362" t="s">
        <v>12</v>
      </c>
      <c r="C362" t="s">
        <v>15</v>
      </c>
      <c r="D362" t="s">
        <v>24</v>
      </c>
      <c r="E362">
        <v>4</v>
      </c>
      <c r="F362" s="7">
        <v>1159.73</v>
      </c>
      <c r="G362" s="7">
        <v>4638.92</v>
      </c>
      <c r="H362" s="7">
        <v>728.2</v>
      </c>
      <c r="I362" s="7">
        <f t="shared" si="5"/>
        <v>3910.7200000000003</v>
      </c>
    </row>
    <row r="363" spans="1:9" x14ac:dyDescent="0.35">
      <c r="A363" s="3">
        <v>45418</v>
      </c>
      <c r="B363" t="s">
        <v>8</v>
      </c>
      <c r="C363" t="s">
        <v>17</v>
      </c>
      <c r="D363" t="s">
        <v>27</v>
      </c>
      <c r="E363">
        <v>5</v>
      </c>
      <c r="F363" s="7">
        <v>2026.72</v>
      </c>
      <c r="G363" s="7">
        <v>10133.6</v>
      </c>
      <c r="H363" s="7">
        <v>1756.08</v>
      </c>
      <c r="I363" s="7">
        <f t="shared" si="5"/>
        <v>8377.52</v>
      </c>
    </row>
    <row r="364" spans="1:9" x14ac:dyDescent="0.35">
      <c r="A364" s="3">
        <v>45418</v>
      </c>
      <c r="B364" t="s">
        <v>12</v>
      </c>
      <c r="C364" t="s">
        <v>17</v>
      </c>
      <c r="D364" t="s">
        <v>27</v>
      </c>
      <c r="E364">
        <v>3</v>
      </c>
      <c r="F364" s="7">
        <v>1965.54</v>
      </c>
      <c r="G364" s="7">
        <v>5896.62</v>
      </c>
      <c r="H364" s="7">
        <v>901.16</v>
      </c>
      <c r="I364" s="7">
        <f t="shared" si="5"/>
        <v>4995.46</v>
      </c>
    </row>
    <row r="365" spans="1:9" x14ac:dyDescent="0.35">
      <c r="A365" s="3">
        <v>45418</v>
      </c>
      <c r="B365" t="s">
        <v>9</v>
      </c>
      <c r="C365" t="s">
        <v>17</v>
      </c>
      <c r="D365" t="s">
        <v>28</v>
      </c>
      <c r="E365">
        <v>9</v>
      </c>
      <c r="F365" s="7">
        <v>2480.65</v>
      </c>
      <c r="G365" s="7">
        <v>22325.85</v>
      </c>
      <c r="H365" s="7">
        <v>5438.25</v>
      </c>
      <c r="I365" s="7">
        <f t="shared" si="5"/>
        <v>16887.599999999999</v>
      </c>
    </row>
    <row r="366" spans="1:9" x14ac:dyDescent="0.35">
      <c r="A366" s="3">
        <v>45419</v>
      </c>
      <c r="B366" t="s">
        <v>12</v>
      </c>
      <c r="C366" t="s">
        <v>14</v>
      </c>
      <c r="D366" t="s">
        <v>21</v>
      </c>
      <c r="E366">
        <v>1</v>
      </c>
      <c r="F366" s="7">
        <v>1324.78</v>
      </c>
      <c r="G366" s="7">
        <v>1324.78</v>
      </c>
      <c r="H366" s="7">
        <v>299.91000000000003</v>
      </c>
      <c r="I366" s="7">
        <f t="shared" si="5"/>
        <v>1024.8699999999999</v>
      </c>
    </row>
    <row r="367" spans="1:9" x14ac:dyDescent="0.35">
      <c r="A367" s="3">
        <v>45420</v>
      </c>
      <c r="B367" t="s">
        <v>9</v>
      </c>
      <c r="C367" t="s">
        <v>16</v>
      </c>
      <c r="D367" t="s">
        <v>29</v>
      </c>
      <c r="E367">
        <v>4</v>
      </c>
      <c r="F367" s="7">
        <v>1511.47</v>
      </c>
      <c r="G367" s="7">
        <v>6045.88</v>
      </c>
      <c r="H367" s="7">
        <v>943.04</v>
      </c>
      <c r="I367" s="7">
        <f t="shared" si="5"/>
        <v>5102.84</v>
      </c>
    </row>
    <row r="368" spans="1:9" x14ac:dyDescent="0.35">
      <c r="A368" s="3">
        <v>45421</v>
      </c>
      <c r="B368" t="s">
        <v>13</v>
      </c>
      <c r="C368" t="s">
        <v>17</v>
      </c>
      <c r="D368" t="s">
        <v>27</v>
      </c>
      <c r="E368">
        <v>1</v>
      </c>
      <c r="F368" s="7">
        <v>513.22</v>
      </c>
      <c r="G368" s="7">
        <v>513.22</v>
      </c>
      <c r="H368" s="7">
        <v>93.79</v>
      </c>
      <c r="I368" s="7">
        <f t="shared" si="5"/>
        <v>419.43</v>
      </c>
    </row>
    <row r="369" spans="1:9" x14ac:dyDescent="0.35">
      <c r="A369" s="3">
        <v>45421</v>
      </c>
      <c r="B369" t="s">
        <v>8</v>
      </c>
      <c r="C369" t="s">
        <v>14</v>
      </c>
      <c r="D369" t="s">
        <v>18</v>
      </c>
      <c r="E369">
        <v>9</v>
      </c>
      <c r="F369" s="7">
        <v>2454.96</v>
      </c>
      <c r="G369" s="7">
        <v>22094.639999999999</v>
      </c>
      <c r="H369" s="7">
        <v>2266.2800000000002</v>
      </c>
      <c r="I369" s="7">
        <f t="shared" si="5"/>
        <v>19828.36</v>
      </c>
    </row>
    <row r="370" spans="1:9" x14ac:dyDescent="0.35">
      <c r="A370" s="3">
        <v>45421</v>
      </c>
      <c r="B370" t="s">
        <v>12</v>
      </c>
      <c r="C370" t="s">
        <v>17</v>
      </c>
      <c r="D370" t="s">
        <v>28</v>
      </c>
      <c r="E370">
        <v>2</v>
      </c>
      <c r="F370" s="7">
        <v>2336.1</v>
      </c>
      <c r="G370" s="7">
        <v>4672.2</v>
      </c>
      <c r="H370" s="7">
        <v>834.73</v>
      </c>
      <c r="I370" s="7">
        <f t="shared" si="5"/>
        <v>3837.47</v>
      </c>
    </row>
    <row r="371" spans="1:9" x14ac:dyDescent="0.35">
      <c r="A371" s="3">
        <v>45421</v>
      </c>
      <c r="B371" t="s">
        <v>11</v>
      </c>
      <c r="C371" t="s">
        <v>16</v>
      </c>
      <c r="D371" t="s">
        <v>25</v>
      </c>
      <c r="E371">
        <v>9</v>
      </c>
      <c r="F371" s="7">
        <v>1004.84</v>
      </c>
      <c r="G371" s="7">
        <v>9043.56</v>
      </c>
      <c r="H371" s="7">
        <v>1385.17</v>
      </c>
      <c r="I371" s="7">
        <f t="shared" si="5"/>
        <v>7658.3899999999994</v>
      </c>
    </row>
    <row r="372" spans="1:9" x14ac:dyDescent="0.35">
      <c r="A372" s="3">
        <v>45421</v>
      </c>
      <c r="B372" t="s">
        <v>8</v>
      </c>
      <c r="C372" t="s">
        <v>14</v>
      </c>
      <c r="D372" t="s">
        <v>18</v>
      </c>
      <c r="E372">
        <v>7</v>
      </c>
      <c r="F372" s="7">
        <v>1418</v>
      </c>
      <c r="G372" s="7">
        <v>9926</v>
      </c>
      <c r="H372" s="7">
        <v>1354.71</v>
      </c>
      <c r="I372" s="7">
        <f t="shared" si="5"/>
        <v>8571.2900000000009</v>
      </c>
    </row>
    <row r="373" spans="1:9" x14ac:dyDescent="0.35">
      <c r="A373" s="3">
        <v>45422</v>
      </c>
      <c r="B373" t="s">
        <v>9</v>
      </c>
      <c r="C373" t="s">
        <v>15</v>
      </c>
      <c r="D373" t="s">
        <v>22</v>
      </c>
      <c r="E373">
        <v>1</v>
      </c>
      <c r="F373" s="7">
        <v>687</v>
      </c>
      <c r="G373" s="7">
        <v>687</v>
      </c>
      <c r="H373" s="7">
        <v>107.78</v>
      </c>
      <c r="I373" s="7">
        <f t="shared" si="5"/>
        <v>579.22</v>
      </c>
    </row>
    <row r="374" spans="1:9" x14ac:dyDescent="0.35">
      <c r="A374" s="3">
        <v>45422</v>
      </c>
      <c r="B374" t="s">
        <v>11</v>
      </c>
      <c r="C374" t="s">
        <v>17</v>
      </c>
      <c r="D374" t="s">
        <v>28</v>
      </c>
      <c r="E374">
        <v>1</v>
      </c>
      <c r="F374" s="7">
        <v>1905.69</v>
      </c>
      <c r="G374" s="7">
        <v>1905.69</v>
      </c>
      <c r="H374" s="7">
        <v>214.21</v>
      </c>
      <c r="I374" s="7">
        <f t="shared" si="5"/>
        <v>1691.48</v>
      </c>
    </row>
    <row r="375" spans="1:9" x14ac:dyDescent="0.35">
      <c r="A375" s="3">
        <v>45423</v>
      </c>
      <c r="B375" t="s">
        <v>9</v>
      </c>
      <c r="C375" t="s">
        <v>14</v>
      </c>
      <c r="D375" t="s">
        <v>21</v>
      </c>
      <c r="E375">
        <v>4</v>
      </c>
      <c r="F375" s="7">
        <v>922.83</v>
      </c>
      <c r="G375" s="7">
        <v>3691.32</v>
      </c>
      <c r="H375" s="7">
        <v>849.81</v>
      </c>
      <c r="I375" s="7">
        <f t="shared" si="5"/>
        <v>2841.51</v>
      </c>
    </row>
    <row r="376" spans="1:9" x14ac:dyDescent="0.35">
      <c r="A376" s="3">
        <v>45423</v>
      </c>
      <c r="B376" t="s">
        <v>10</v>
      </c>
      <c r="C376" t="s">
        <v>17</v>
      </c>
      <c r="D376" t="s">
        <v>27</v>
      </c>
      <c r="E376">
        <v>1</v>
      </c>
      <c r="F376" s="7">
        <v>2348.3200000000002</v>
      </c>
      <c r="G376" s="7">
        <v>2348.3200000000002</v>
      </c>
      <c r="H376" s="7">
        <v>475.92</v>
      </c>
      <c r="I376" s="7">
        <f t="shared" si="5"/>
        <v>1872.4</v>
      </c>
    </row>
    <row r="377" spans="1:9" x14ac:dyDescent="0.35">
      <c r="A377" s="3">
        <v>45423</v>
      </c>
      <c r="B377" t="s">
        <v>12</v>
      </c>
      <c r="C377" t="s">
        <v>14</v>
      </c>
      <c r="D377" t="s">
        <v>20</v>
      </c>
      <c r="E377">
        <v>6</v>
      </c>
      <c r="F377" s="7">
        <v>531.32000000000005</v>
      </c>
      <c r="G377" s="7">
        <v>3187.92</v>
      </c>
      <c r="H377" s="7">
        <v>417.85</v>
      </c>
      <c r="I377" s="7">
        <f t="shared" si="5"/>
        <v>2770.07</v>
      </c>
    </row>
    <row r="378" spans="1:9" x14ac:dyDescent="0.35">
      <c r="A378" s="3">
        <v>45424</v>
      </c>
      <c r="B378" t="s">
        <v>11</v>
      </c>
      <c r="C378" t="s">
        <v>14</v>
      </c>
      <c r="D378" t="s">
        <v>18</v>
      </c>
      <c r="E378">
        <v>3</v>
      </c>
      <c r="F378" s="7">
        <v>1627.92</v>
      </c>
      <c r="G378" s="7">
        <v>4883.76</v>
      </c>
      <c r="H378" s="7">
        <v>903.52</v>
      </c>
      <c r="I378" s="7">
        <f t="shared" si="5"/>
        <v>3980.2400000000002</v>
      </c>
    </row>
    <row r="379" spans="1:9" x14ac:dyDescent="0.35">
      <c r="A379" s="3">
        <v>45424</v>
      </c>
      <c r="B379" t="s">
        <v>13</v>
      </c>
      <c r="C379" t="s">
        <v>15</v>
      </c>
      <c r="D379" t="s">
        <v>30</v>
      </c>
      <c r="E379">
        <v>3</v>
      </c>
      <c r="F379" s="7">
        <v>2081</v>
      </c>
      <c r="G379" s="7">
        <v>6243</v>
      </c>
      <c r="H379" s="7">
        <v>1269.8</v>
      </c>
      <c r="I379" s="7">
        <f t="shared" si="5"/>
        <v>4973.2</v>
      </c>
    </row>
    <row r="380" spans="1:9" x14ac:dyDescent="0.35">
      <c r="A380" s="3">
        <v>45424</v>
      </c>
      <c r="B380" t="s">
        <v>10</v>
      </c>
      <c r="C380" t="s">
        <v>15</v>
      </c>
      <c r="D380" t="s">
        <v>22</v>
      </c>
      <c r="E380">
        <v>2</v>
      </c>
      <c r="F380" s="7">
        <v>1374.18</v>
      </c>
      <c r="G380" s="7">
        <v>2748.36</v>
      </c>
      <c r="H380" s="7">
        <v>620.58000000000004</v>
      </c>
      <c r="I380" s="7">
        <f t="shared" si="5"/>
        <v>2127.7800000000002</v>
      </c>
    </row>
    <row r="381" spans="1:9" x14ac:dyDescent="0.35">
      <c r="A381" s="3">
        <v>45424</v>
      </c>
      <c r="B381" t="s">
        <v>11</v>
      </c>
      <c r="C381" t="s">
        <v>17</v>
      </c>
      <c r="D381" t="s">
        <v>27</v>
      </c>
      <c r="E381">
        <v>1</v>
      </c>
      <c r="F381" s="7">
        <v>1768.25</v>
      </c>
      <c r="G381" s="7">
        <v>1768.25</v>
      </c>
      <c r="H381" s="7">
        <v>384.65</v>
      </c>
      <c r="I381" s="7">
        <f t="shared" si="5"/>
        <v>1383.6</v>
      </c>
    </row>
    <row r="382" spans="1:9" x14ac:dyDescent="0.35">
      <c r="A382" s="3">
        <v>45425</v>
      </c>
      <c r="B382" t="s">
        <v>8</v>
      </c>
      <c r="C382" t="s">
        <v>16</v>
      </c>
      <c r="D382" t="s">
        <v>26</v>
      </c>
      <c r="E382">
        <v>9</v>
      </c>
      <c r="F382" s="7">
        <v>2382.29</v>
      </c>
      <c r="G382" s="7">
        <v>21440.61</v>
      </c>
      <c r="H382" s="7">
        <v>3532.92</v>
      </c>
      <c r="I382" s="7">
        <f t="shared" si="5"/>
        <v>17907.690000000002</v>
      </c>
    </row>
    <row r="383" spans="1:9" x14ac:dyDescent="0.35">
      <c r="A383" s="3">
        <v>45425</v>
      </c>
      <c r="B383" t="s">
        <v>13</v>
      </c>
      <c r="C383" t="s">
        <v>17</v>
      </c>
      <c r="D383" t="s">
        <v>28</v>
      </c>
      <c r="E383">
        <v>10</v>
      </c>
      <c r="F383" s="7">
        <v>1090.76</v>
      </c>
      <c r="G383" s="7">
        <v>10907.6</v>
      </c>
      <c r="H383" s="7">
        <v>1493.99</v>
      </c>
      <c r="I383" s="7">
        <f t="shared" si="5"/>
        <v>9413.61</v>
      </c>
    </row>
    <row r="384" spans="1:9" x14ac:dyDescent="0.35">
      <c r="A384" s="3">
        <v>45425</v>
      </c>
      <c r="B384" t="s">
        <v>12</v>
      </c>
      <c r="C384" t="s">
        <v>14</v>
      </c>
      <c r="D384" t="s">
        <v>18</v>
      </c>
      <c r="E384">
        <v>3</v>
      </c>
      <c r="F384" s="7">
        <v>1260</v>
      </c>
      <c r="G384" s="7">
        <v>3780</v>
      </c>
      <c r="H384" s="7">
        <v>822.47</v>
      </c>
      <c r="I384" s="7">
        <f t="shared" si="5"/>
        <v>2957.5299999999997</v>
      </c>
    </row>
    <row r="385" spans="1:9" x14ac:dyDescent="0.35">
      <c r="A385" s="3">
        <v>45425</v>
      </c>
      <c r="B385" t="s">
        <v>10</v>
      </c>
      <c r="C385" t="s">
        <v>17</v>
      </c>
      <c r="D385" t="s">
        <v>27</v>
      </c>
      <c r="E385">
        <v>6</v>
      </c>
      <c r="F385" s="7">
        <v>713.1</v>
      </c>
      <c r="G385" s="7">
        <v>4278.6000000000004</v>
      </c>
      <c r="H385" s="7">
        <v>431.19</v>
      </c>
      <c r="I385" s="7">
        <f t="shared" si="5"/>
        <v>3847.4100000000003</v>
      </c>
    </row>
    <row r="386" spans="1:9" x14ac:dyDescent="0.35">
      <c r="A386" s="3">
        <v>45426</v>
      </c>
      <c r="B386" t="s">
        <v>11</v>
      </c>
      <c r="C386" t="s">
        <v>15</v>
      </c>
      <c r="D386" t="s">
        <v>23</v>
      </c>
      <c r="E386">
        <v>2</v>
      </c>
      <c r="F386" s="7">
        <v>765.01</v>
      </c>
      <c r="G386" s="7">
        <v>1530.02</v>
      </c>
      <c r="H386" s="7">
        <v>196.01</v>
      </c>
      <c r="I386" s="7">
        <f t="shared" si="5"/>
        <v>1334.01</v>
      </c>
    </row>
    <row r="387" spans="1:9" x14ac:dyDescent="0.35">
      <c r="A387" s="3">
        <v>45426</v>
      </c>
      <c r="B387" t="s">
        <v>9</v>
      </c>
      <c r="C387" t="s">
        <v>17</v>
      </c>
      <c r="D387" t="s">
        <v>28</v>
      </c>
      <c r="E387">
        <v>1</v>
      </c>
      <c r="F387" s="7">
        <v>679.24</v>
      </c>
      <c r="G387" s="7">
        <v>679.24</v>
      </c>
      <c r="H387" s="7">
        <v>124.39</v>
      </c>
      <c r="I387" s="7">
        <f t="shared" ref="I387:I450" si="6">G387-H387</f>
        <v>554.85</v>
      </c>
    </row>
    <row r="388" spans="1:9" x14ac:dyDescent="0.35">
      <c r="A388" s="3">
        <v>45426</v>
      </c>
      <c r="B388" t="s">
        <v>13</v>
      </c>
      <c r="C388" t="s">
        <v>15</v>
      </c>
      <c r="D388" t="s">
        <v>30</v>
      </c>
      <c r="E388">
        <v>1</v>
      </c>
      <c r="F388" s="7">
        <v>1083.69</v>
      </c>
      <c r="G388" s="7">
        <v>1083.69</v>
      </c>
      <c r="H388" s="7">
        <v>171.41</v>
      </c>
      <c r="I388" s="7">
        <f t="shared" si="6"/>
        <v>912.28000000000009</v>
      </c>
    </row>
    <row r="389" spans="1:9" x14ac:dyDescent="0.35">
      <c r="A389" s="3">
        <v>45426</v>
      </c>
      <c r="B389" t="s">
        <v>12</v>
      </c>
      <c r="C389" t="s">
        <v>16</v>
      </c>
      <c r="D389" t="s">
        <v>25</v>
      </c>
      <c r="E389">
        <v>9</v>
      </c>
      <c r="F389" s="7">
        <v>839.17</v>
      </c>
      <c r="G389" s="7">
        <v>7552.53</v>
      </c>
      <c r="H389" s="7">
        <v>1186.58</v>
      </c>
      <c r="I389" s="7">
        <f t="shared" si="6"/>
        <v>6365.95</v>
      </c>
    </row>
    <row r="390" spans="1:9" x14ac:dyDescent="0.35">
      <c r="A390" s="3">
        <v>45427</v>
      </c>
      <c r="B390" t="s">
        <v>10</v>
      </c>
      <c r="C390" t="s">
        <v>15</v>
      </c>
      <c r="D390" t="s">
        <v>23</v>
      </c>
      <c r="E390">
        <v>8</v>
      </c>
      <c r="F390" s="7">
        <v>791.87</v>
      </c>
      <c r="G390" s="7">
        <v>6334.96</v>
      </c>
      <c r="H390" s="7">
        <v>792.38</v>
      </c>
      <c r="I390" s="7">
        <f t="shared" si="6"/>
        <v>5542.58</v>
      </c>
    </row>
    <row r="391" spans="1:9" x14ac:dyDescent="0.35">
      <c r="A391" s="3">
        <v>45427</v>
      </c>
      <c r="B391" t="s">
        <v>12</v>
      </c>
      <c r="C391" t="s">
        <v>17</v>
      </c>
      <c r="D391" t="s">
        <v>27</v>
      </c>
      <c r="E391">
        <v>8</v>
      </c>
      <c r="F391" s="7">
        <v>2065.33</v>
      </c>
      <c r="G391" s="7">
        <v>16522.64</v>
      </c>
      <c r="H391" s="7">
        <v>2547.27</v>
      </c>
      <c r="I391" s="7">
        <f t="shared" si="6"/>
        <v>13975.369999999999</v>
      </c>
    </row>
    <row r="392" spans="1:9" x14ac:dyDescent="0.35">
      <c r="A392" s="3">
        <v>45427</v>
      </c>
      <c r="B392" t="s">
        <v>11</v>
      </c>
      <c r="C392" t="s">
        <v>17</v>
      </c>
      <c r="D392" t="s">
        <v>28</v>
      </c>
      <c r="E392">
        <v>8</v>
      </c>
      <c r="F392" s="7">
        <v>713.94</v>
      </c>
      <c r="G392" s="7">
        <v>5711.52</v>
      </c>
      <c r="H392" s="7">
        <v>832.16</v>
      </c>
      <c r="I392" s="7">
        <f t="shared" si="6"/>
        <v>4879.3600000000006</v>
      </c>
    </row>
    <row r="393" spans="1:9" x14ac:dyDescent="0.35">
      <c r="A393" s="3">
        <v>45428</v>
      </c>
      <c r="B393" t="s">
        <v>8</v>
      </c>
      <c r="C393" t="s">
        <v>17</v>
      </c>
      <c r="D393" t="s">
        <v>27</v>
      </c>
      <c r="E393">
        <v>8</v>
      </c>
      <c r="F393" s="7">
        <v>1169.47</v>
      </c>
      <c r="G393" s="7">
        <v>9355.76</v>
      </c>
      <c r="H393" s="7">
        <v>2079.98</v>
      </c>
      <c r="I393" s="7">
        <f t="shared" si="6"/>
        <v>7275.7800000000007</v>
      </c>
    </row>
    <row r="394" spans="1:9" x14ac:dyDescent="0.35">
      <c r="A394" s="3">
        <v>45428</v>
      </c>
      <c r="B394" t="s">
        <v>11</v>
      </c>
      <c r="C394" t="s">
        <v>16</v>
      </c>
      <c r="D394" t="s">
        <v>26</v>
      </c>
      <c r="E394">
        <v>6</v>
      </c>
      <c r="F394" s="7">
        <v>1706.42</v>
      </c>
      <c r="G394" s="7">
        <v>10238.52</v>
      </c>
      <c r="H394" s="7">
        <v>2091.67</v>
      </c>
      <c r="I394" s="7">
        <f t="shared" si="6"/>
        <v>8146.85</v>
      </c>
    </row>
    <row r="395" spans="1:9" x14ac:dyDescent="0.35">
      <c r="A395" s="3">
        <v>45428</v>
      </c>
      <c r="B395" t="s">
        <v>8</v>
      </c>
      <c r="C395" t="s">
        <v>15</v>
      </c>
      <c r="D395" t="s">
        <v>24</v>
      </c>
      <c r="E395">
        <v>7</v>
      </c>
      <c r="F395" s="7">
        <v>2437.4499999999998</v>
      </c>
      <c r="G395" s="7">
        <v>17062.150000000001</v>
      </c>
      <c r="H395" s="7">
        <v>2452.12</v>
      </c>
      <c r="I395" s="7">
        <f t="shared" si="6"/>
        <v>14610.030000000002</v>
      </c>
    </row>
    <row r="396" spans="1:9" x14ac:dyDescent="0.35">
      <c r="A396" s="3">
        <v>45429</v>
      </c>
      <c r="B396" t="s">
        <v>10</v>
      </c>
      <c r="C396" t="s">
        <v>16</v>
      </c>
      <c r="D396" t="s">
        <v>26</v>
      </c>
      <c r="E396">
        <v>7</v>
      </c>
      <c r="F396" s="7">
        <v>1060.5999999999999</v>
      </c>
      <c r="G396" s="7">
        <v>7424.2</v>
      </c>
      <c r="H396" s="7">
        <v>1617.58</v>
      </c>
      <c r="I396" s="7">
        <f t="shared" si="6"/>
        <v>5806.62</v>
      </c>
    </row>
    <row r="397" spans="1:9" x14ac:dyDescent="0.35">
      <c r="A397" s="3">
        <v>45429</v>
      </c>
      <c r="B397" t="s">
        <v>9</v>
      </c>
      <c r="C397" t="s">
        <v>14</v>
      </c>
      <c r="D397" t="s">
        <v>20</v>
      </c>
      <c r="E397">
        <v>10</v>
      </c>
      <c r="F397" s="7">
        <v>2494.5300000000002</v>
      </c>
      <c r="G397" s="7">
        <v>24945.3</v>
      </c>
      <c r="H397" s="7">
        <v>3167.78</v>
      </c>
      <c r="I397" s="7">
        <f t="shared" si="6"/>
        <v>21777.52</v>
      </c>
    </row>
    <row r="398" spans="1:9" x14ac:dyDescent="0.35">
      <c r="A398" s="3">
        <v>45429</v>
      </c>
      <c r="B398" t="s">
        <v>8</v>
      </c>
      <c r="C398" t="s">
        <v>14</v>
      </c>
      <c r="D398" t="s">
        <v>19</v>
      </c>
      <c r="E398">
        <v>4</v>
      </c>
      <c r="F398" s="7">
        <v>1376.91</v>
      </c>
      <c r="G398" s="7">
        <v>5507.64</v>
      </c>
      <c r="H398" s="7">
        <v>791.45</v>
      </c>
      <c r="I398" s="7">
        <f t="shared" si="6"/>
        <v>4716.1900000000005</v>
      </c>
    </row>
    <row r="399" spans="1:9" x14ac:dyDescent="0.35">
      <c r="A399" s="3">
        <v>45429</v>
      </c>
      <c r="B399" t="s">
        <v>10</v>
      </c>
      <c r="C399" t="s">
        <v>14</v>
      </c>
      <c r="D399" t="s">
        <v>19</v>
      </c>
      <c r="E399">
        <v>8</v>
      </c>
      <c r="F399" s="7">
        <v>778.36</v>
      </c>
      <c r="G399" s="7">
        <v>6226.88</v>
      </c>
      <c r="H399" s="7">
        <v>905.54</v>
      </c>
      <c r="I399" s="7">
        <f t="shared" si="6"/>
        <v>5321.34</v>
      </c>
    </row>
    <row r="400" spans="1:9" x14ac:dyDescent="0.35">
      <c r="A400" s="3">
        <v>45430</v>
      </c>
      <c r="B400" t="s">
        <v>9</v>
      </c>
      <c r="C400" t="s">
        <v>17</v>
      </c>
      <c r="D400" t="s">
        <v>27</v>
      </c>
      <c r="E400">
        <v>2</v>
      </c>
      <c r="F400" s="7">
        <v>1398.13</v>
      </c>
      <c r="G400" s="7">
        <v>2796.26</v>
      </c>
      <c r="H400" s="7">
        <v>530.41999999999996</v>
      </c>
      <c r="I400" s="7">
        <f t="shared" si="6"/>
        <v>2265.84</v>
      </c>
    </row>
    <row r="401" spans="1:9" x14ac:dyDescent="0.35">
      <c r="A401" s="3">
        <v>45430</v>
      </c>
      <c r="B401" t="s">
        <v>8</v>
      </c>
      <c r="C401" t="s">
        <v>17</v>
      </c>
      <c r="D401" t="s">
        <v>27</v>
      </c>
      <c r="E401">
        <v>9</v>
      </c>
      <c r="F401" s="7">
        <v>573.53</v>
      </c>
      <c r="G401" s="7">
        <v>5161.7700000000004</v>
      </c>
      <c r="H401" s="7">
        <v>1266</v>
      </c>
      <c r="I401" s="7">
        <f t="shared" si="6"/>
        <v>3895.7700000000004</v>
      </c>
    </row>
    <row r="402" spans="1:9" x14ac:dyDescent="0.35">
      <c r="A402" s="3">
        <v>45431</v>
      </c>
      <c r="B402" t="s">
        <v>8</v>
      </c>
      <c r="C402" t="s">
        <v>14</v>
      </c>
      <c r="D402" t="s">
        <v>21</v>
      </c>
      <c r="E402">
        <v>4</v>
      </c>
      <c r="F402" s="7">
        <v>1815.2</v>
      </c>
      <c r="G402" s="7">
        <v>7260.8</v>
      </c>
      <c r="H402" s="7">
        <v>1112.73</v>
      </c>
      <c r="I402" s="7">
        <f t="shared" si="6"/>
        <v>6148.07</v>
      </c>
    </row>
    <row r="403" spans="1:9" x14ac:dyDescent="0.35">
      <c r="A403" s="3">
        <v>45431</v>
      </c>
      <c r="B403" t="s">
        <v>13</v>
      </c>
      <c r="C403" t="s">
        <v>14</v>
      </c>
      <c r="D403" t="s">
        <v>19</v>
      </c>
      <c r="E403">
        <v>6</v>
      </c>
      <c r="F403" s="7">
        <v>2431.4299999999998</v>
      </c>
      <c r="G403" s="7">
        <v>14588.58</v>
      </c>
      <c r="H403" s="7">
        <v>2400.8200000000002</v>
      </c>
      <c r="I403" s="7">
        <f t="shared" si="6"/>
        <v>12187.76</v>
      </c>
    </row>
    <row r="404" spans="1:9" x14ac:dyDescent="0.35">
      <c r="A404" s="3">
        <v>45431</v>
      </c>
      <c r="B404" t="s">
        <v>9</v>
      </c>
      <c r="C404" t="s">
        <v>14</v>
      </c>
      <c r="D404" t="s">
        <v>18</v>
      </c>
      <c r="E404">
        <v>4</v>
      </c>
      <c r="F404" s="7">
        <v>1521.35</v>
      </c>
      <c r="G404" s="7">
        <v>6085.4</v>
      </c>
      <c r="H404" s="7">
        <v>1082.0999999999999</v>
      </c>
      <c r="I404" s="7">
        <f t="shared" si="6"/>
        <v>5003.2999999999993</v>
      </c>
    </row>
    <row r="405" spans="1:9" x14ac:dyDescent="0.35">
      <c r="A405" s="3">
        <v>45431</v>
      </c>
      <c r="B405" t="s">
        <v>9</v>
      </c>
      <c r="C405" t="s">
        <v>16</v>
      </c>
      <c r="D405" t="s">
        <v>26</v>
      </c>
      <c r="E405">
        <v>6</v>
      </c>
      <c r="F405" s="7">
        <v>1282.27</v>
      </c>
      <c r="G405" s="7">
        <v>7693.62</v>
      </c>
      <c r="H405" s="7">
        <v>1660.68</v>
      </c>
      <c r="I405" s="7">
        <f t="shared" si="6"/>
        <v>6032.94</v>
      </c>
    </row>
    <row r="406" spans="1:9" x14ac:dyDescent="0.35">
      <c r="A406" s="3">
        <v>45431</v>
      </c>
      <c r="B406" t="s">
        <v>13</v>
      </c>
      <c r="C406" t="s">
        <v>16</v>
      </c>
      <c r="D406" t="s">
        <v>26</v>
      </c>
      <c r="E406">
        <v>1</v>
      </c>
      <c r="F406" s="7">
        <v>1465.54</v>
      </c>
      <c r="G406" s="7">
        <v>1465.54</v>
      </c>
      <c r="H406" s="7">
        <v>211.5</v>
      </c>
      <c r="I406" s="7">
        <f t="shared" si="6"/>
        <v>1254.04</v>
      </c>
    </row>
    <row r="407" spans="1:9" x14ac:dyDescent="0.35">
      <c r="A407" s="3">
        <v>45432</v>
      </c>
      <c r="B407" t="s">
        <v>9</v>
      </c>
      <c r="C407" t="s">
        <v>16</v>
      </c>
      <c r="D407" t="s">
        <v>26</v>
      </c>
      <c r="E407">
        <v>5</v>
      </c>
      <c r="F407" s="7">
        <v>1186.1300000000001</v>
      </c>
      <c r="G407" s="7">
        <v>5930.65</v>
      </c>
      <c r="H407" s="7">
        <v>1290.75</v>
      </c>
      <c r="I407" s="7">
        <f t="shared" si="6"/>
        <v>4639.8999999999996</v>
      </c>
    </row>
    <row r="408" spans="1:9" x14ac:dyDescent="0.35">
      <c r="A408" s="3">
        <v>45433</v>
      </c>
      <c r="B408" t="s">
        <v>10</v>
      </c>
      <c r="C408" t="s">
        <v>15</v>
      </c>
      <c r="D408" t="s">
        <v>30</v>
      </c>
      <c r="E408">
        <v>2</v>
      </c>
      <c r="F408" s="7">
        <v>1376.33</v>
      </c>
      <c r="G408" s="7">
        <v>2752.66</v>
      </c>
      <c r="H408" s="7">
        <v>562.96</v>
      </c>
      <c r="I408" s="7">
        <f t="shared" si="6"/>
        <v>2189.6999999999998</v>
      </c>
    </row>
    <row r="409" spans="1:9" x14ac:dyDescent="0.35">
      <c r="A409" s="3">
        <v>45433</v>
      </c>
      <c r="B409" t="s">
        <v>10</v>
      </c>
      <c r="C409" t="s">
        <v>14</v>
      </c>
      <c r="D409" t="s">
        <v>18</v>
      </c>
      <c r="E409">
        <v>1</v>
      </c>
      <c r="F409" s="7">
        <v>2120.37</v>
      </c>
      <c r="G409" s="7">
        <v>2120.37</v>
      </c>
      <c r="H409" s="7">
        <v>248.64</v>
      </c>
      <c r="I409" s="7">
        <f t="shared" si="6"/>
        <v>1871.73</v>
      </c>
    </row>
    <row r="410" spans="1:9" x14ac:dyDescent="0.35">
      <c r="A410" s="3">
        <v>45433</v>
      </c>
      <c r="B410" t="s">
        <v>10</v>
      </c>
      <c r="C410" t="s">
        <v>14</v>
      </c>
      <c r="D410" t="s">
        <v>20</v>
      </c>
      <c r="E410">
        <v>4</v>
      </c>
      <c r="F410" s="7">
        <v>1531.99</v>
      </c>
      <c r="G410" s="7">
        <v>6127.96</v>
      </c>
      <c r="H410" s="7">
        <v>1120.1099999999999</v>
      </c>
      <c r="I410" s="7">
        <f t="shared" si="6"/>
        <v>5007.8500000000004</v>
      </c>
    </row>
    <row r="411" spans="1:9" x14ac:dyDescent="0.35">
      <c r="A411" s="3">
        <v>45433</v>
      </c>
      <c r="B411" t="s">
        <v>12</v>
      </c>
      <c r="C411" t="s">
        <v>17</v>
      </c>
      <c r="D411" t="s">
        <v>27</v>
      </c>
      <c r="E411">
        <v>4</v>
      </c>
      <c r="F411" s="7">
        <v>2095.5100000000002</v>
      </c>
      <c r="G411" s="7">
        <v>8382.0400000000009</v>
      </c>
      <c r="H411" s="7">
        <v>1630.01</v>
      </c>
      <c r="I411" s="7">
        <f t="shared" si="6"/>
        <v>6752.0300000000007</v>
      </c>
    </row>
    <row r="412" spans="1:9" x14ac:dyDescent="0.35">
      <c r="A412" s="3">
        <v>45434</v>
      </c>
      <c r="B412" t="s">
        <v>11</v>
      </c>
      <c r="C412" t="s">
        <v>17</v>
      </c>
      <c r="D412" t="s">
        <v>28</v>
      </c>
      <c r="E412">
        <v>10</v>
      </c>
      <c r="F412" s="7">
        <v>2266.19</v>
      </c>
      <c r="G412" s="7">
        <v>22661.9</v>
      </c>
      <c r="H412" s="7">
        <v>3794.42</v>
      </c>
      <c r="I412" s="7">
        <f t="shared" si="6"/>
        <v>18867.480000000003</v>
      </c>
    </row>
    <row r="413" spans="1:9" x14ac:dyDescent="0.35">
      <c r="A413" s="3">
        <v>45434</v>
      </c>
      <c r="B413" t="s">
        <v>13</v>
      </c>
      <c r="C413" t="s">
        <v>17</v>
      </c>
      <c r="D413" t="s">
        <v>28</v>
      </c>
      <c r="E413">
        <v>4</v>
      </c>
      <c r="F413" s="7">
        <v>911.57</v>
      </c>
      <c r="G413" s="7">
        <v>3646.28</v>
      </c>
      <c r="H413" s="7">
        <v>776.11</v>
      </c>
      <c r="I413" s="7">
        <f t="shared" si="6"/>
        <v>2870.17</v>
      </c>
    </row>
    <row r="414" spans="1:9" x14ac:dyDescent="0.35">
      <c r="A414" s="3">
        <v>45434</v>
      </c>
      <c r="B414" t="s">
        <v>10</v>
      </c>
      <c r="C414" t="s">
        <v>14</v>
      </c>
      <c r="D414" t="s">
        <v>20</v>
      </c>
      <c r="E414">
        <v>6</v>
      </c>
      <c r="F414" s="7">
        <v>1151.97</v>
      </c>
      <c r="G414" s="7">
        <v>6911.82</v>
      </c>
      <c r="H414" s="7">
        <v>1165.56</v>
      </c>
      <c r="I414" s="7">
        <f t="shared" si="6"/>
        <v>5746.26</v>
      </c>
    </row>
    <row r="415" spans="1:9" x14ac:dyDescent="0.35">
      <c r="A415" s="3">
        <v>45434</v>
      </c>
      <c r="B415" t="s">
        <v>13</v>
      </c>
      <c r="C415" t="s">
        <v>17</v>
      </c>
      <c r="D415" t="s">
        <v>27</v>
      </c>
      <c r="E415">
        <v>10</v>
      </c>
      <c r="F415" s="7">
        <v>1277.28</v>
      </c>
      <c r="G415" s="7">
        <v>12772.8</v>
      </c>
      <c r="H415" s="7">
        <v>2029.36</v>
      </c>
      <c r="I415" s="7">
        <f t="shared" si="6"/>
        <v>10743.439999999999</v>
      </c>
    </row>
    <row r="416" spans="1:9" x14ac:dyDescent="0.35">
      <c r="A416" s="3">
        <v>45435</v>
      </c>
      <c r="B416" t="s">
        <v>10</v>
      </c>
      <c r="C416" t="s">
        <v>15</v>
      </c>
      <c r="D416" t="s">
        <v>30</v>
      </c>
      <c r="E416">
        <v>10</v>
      </c>
      <c r="F416" s="7">
        <v>845.06</v>
      </c>
      <c r="G416" s="7">
        <v>8450.6</v>
      </c>
      <c r="H416" s="7">
        <v>1698.89</v>
      </c>
      <c r="I416" s="7">
        <f t="shared" si="6"/>
        <v>6751.71</v>
      </c>
    </row>
    <row r="417" spans="1:9" x14ac:dyDescent="0.35">
      <c r="A417" s="3">
        <v>45435</v>
      </c>
      <c r="B417" t="s">
        <v>12</v>
      </c>
      <c r="C417" t="s">
        <v>14</v>
      </c>
      <c r="D417" t="s">
        <v>20</v>
      </c>
      <c r="E417">
        <v>6</v>
      </c>
      <c r="F417" s="7">
        <v>735.72</v>
      </c>
      <c r="G417" s="7">
        <v>4414.32</v>
      </c>
      <c r="H417" s="7">
        <v>643.64</v>
      </c>
      <c r="I417" s="7">
        <f t="shared" si="6"/>
        <v>3770.68</v>
      </c>
    </row>
    <row r="418" spans="1:9" x14ac:dyDescent="0.35">
      <c r="A418" s="3">
        <v>45435</v>
      </c>
      <c r="B418" t="s">
        <v>9</v>
      </c>
      <c r="C418" t="s">
        <v>15</v>
      </c>
      <c r="D418" t="s">
        <v>24</v>
      </c>
      <c r="E418">
        <v>9</v>
      </c>
      <c r="F418" s="7">
        <v>1276.93</v>
      </c>
      <c r="G418" s="7">
        <v>11492.37</v>
      </c>
      <c r="H418" s="7">
        <v>2177.39</v>
      </c>
      <c r="I418" s="7">
        <f t="shared" si="6"/>
        <v>9314.9800000000014</v>
      </c>
    </row>
    <row r="419" spans="1:9" x14ac:dyDescent="0.35">
      <c r="A419" s="3">
        <v>45436</v>
      </c>
      <c r="B419" t="s">
        <v>8</v>
      </c>
      <c r="C419" t="s">
        <v>17</v>
      </c>
      <c r="D419" t="s">
        <v>28</v>
      </c>
      <c r="E419">
        <v>8</v>
      </c>
      <c r="F419" s="7">
        <v>1771</v>
      </c>
      <c r="G419" s="7">
        <v>14168</v>
      </c>
      <c r="H419" s="7">
        <v>2890.48</v>
      </c>
      <c r="I419" s="7">
        <f t="shared" si="6"/>
        <v>11277.52</v>
      </c>
    </row>
    <row r="420" spans="1:9" x14ac:dyDescent="0.35">
      <c r="A420" s="3">
        <v>45436</v>
      </c>
      <c r="B420" t="s">
        <v>10</v>
      </c>
      <c r="C420" t="s">
        <v>16</v>
      </c>
      <c r="D420" t="s">
        <v>25</v>
      </c>
      <c r="E420">
        <v>3</v>
      </c>
      <c r="F420" s="7">
        <v>1479.28</v>
      </c>
      <c r="G420" s="7">
        <v>4437.84</v>
      </c>
      <c r="H420" s="7">
        <v>537.17999999999995</v>
      </c>
      <c r="I420" s="7">
        <f t="shared" si="6"/>
        <v>3900.6600000000003</v>
      </c>
    </row>
    <row r="421" spans="1:9" x14ac:dyDescent="0.35">
      <c r="A421" s="3">
        <v>45436</v>
      </c>
      <c r="B421" t="s">
        <v>12</v>
      </c>
      <c r="C421" t="s">
        <v>17</v>
      </c>
      <c r="D421" t="s">
        <v>28</v>
      </c>
      <c r="E421">
        <v>6</v>
      </c>
      <c r="F421" s="7">
        <v>2403.6799999999998</v>
      </c>
      <c r="G421" s="7">
        <v>14422.08</v>
      </c>
      <c r="H421" s="7">
        <v>2490.5700000000002</v>
      </c>
      <c r="I421" s="7">
        <f t="shared" si="6"/>
        <v>11931.51</v>
      </c>
    </row>
    <row r="422" spans="1:9" x14ac:dyDescent="0.35">
      <c r="A422" s="3">
        <v>45436</v>
      </c>
      <c r="B422" t="s">
        <v>11</v>
      </c>
      <c r="C422" t="s">
        <v>17</v>
      </c>
      <c r="D422" t="s">
        <v>27</v>
      </c>
      <c r="E422">
        <v>7</v>
      </c>
      <c r="F422" s="7">
        <v>1869.39</v>
      </c>
      <c r="G422" s="7">
        <v>13085.73</v>
      </c>
      <c r="H422" s="7">
        <v>2124.4</v>
      </c>
      <c r="I422" s="7">
        <f t="shared" si="6"/>
        <v>10961.33</v>
      </c>
    </row>
    <row r="423" spans="1:9" x14ac:dyDescent="0.35">
      <c r="A423" s="3">
        <v>45437</v>
      </c>
      <c r="B423" t="s">
        <v>10</v>
      </c>
      <c r="C423" t="s">
        <v>16</v>
      </c>
      <c r="D423" t="s">
        <v>29</v>
      </c>
      <c r="E423">
        <v>10</v>
      </c>
      <c r="F423" s="7">
        <v>561.72</v>
      </c>
      <c r="G423" s="7">
        <v>5617.2</v>
      </c>
      <c r="H423" s="7">
        <v>1202.97</v>
      </c>
      <c r="I423" s="7">
        <f t="shared" si="6"/>
        <v>4414.2299999999996</v>
      </c>
    </row>
    <row r="424" spans="1:9" x14ac:dyDescent="0.35">
      <c r="A424" s="3">
        <v>45437</v>
      </c>
      <c r="B424" t="s">
        <v>11</v>
      </c>
      <c r="C424" t="s">
        <v>14</v>
      </c>
      <c r="D424" t="s">
        <v>18</v>
      </c>
      <c r="E424">
        <v>4</v>
      </c>
      <c r="F424" s="7">
        <v>1575.22</v>
      </c>
      <c r="G424" s="7">
        <v>6300.88</v>
      </c>
      <c r="H424" s="7">
        <v>789.07</v>
      </c>
      <c r="I424" s="7">
        <f t="shared" si="6"/>
        <v>5511.81</v>
      </c>
    </row>
    <row r="425" spans="1:9" x14ac:dyDescent="0.35">
      <c r="A425" s="3">
        <v>45437</v>
      </c>
      <c r="B425" t="s">
        <v>10</v>
      </c>
      <c r="C425" t="s">
        <v>17</v>
      </c>
      <c r="D425" t="s">
        <v>28</v>
      </c>
      <c r="E425">
        <v>10</v>
      </c>
      <c r="F425" s="7">
        <v>728.41</v>
      </c>
      <c r="G425" s="7">
        <v>7284.1</v>
      </c>
      <c r="H425" s="7">
        <v>1575.31</v>
      </c>
      <c r="I425" s="7">
        <f t="shared" si="6"/>
        <v>5708.7900000000009</v>
      </c>
    </row>
    <row r="426" spans="1:9" x14ac:dyDescent="0.35">
      <c r="A426" s="3">
        <v>45437</v>
      </c>
      <c r="B426" t="s">
        <v>8</v>
      </c>
      <c r="C426" t="s">
        <v>14</v>
      </c>
      <c r="D426" t="s">
        <v>19</v>
      </c>
      <c r="E426">
        <v>9</v>
      </c>
      <c r="F426" s="7">
        <v>937.08</v>
      </c>
      <c r="G426" s="7">
        <v>8433.7199999999993</v>
      </c>
      <c r="H426" s="7">
        <v>1381.22</v>
      </c>
      <c r="I426" s="7">
        <f t="shared" si="6"/>
        <v>7052.4999999999991</v>
      </c>
    </row>
    <row r="427" spans="1:9" x14ac:dyDescent="0.35">
      <c r="A427" s="3">
        <v>45438</v>
      </c>
      <c r="B427" t="s">
        <v>13</v>
      </c>
      <c r="C427" t="s">
        <v>15</v>
      </c>
      <c r="D427" t="s">
        <v>22</v>
      </c>
      <c r="E427">
        <v>8</v>
      </c>
      <c r="F427" s="7">
        <v>1025.6300000000001</v>
      </c>
      <c r="G427" s="7">
        <v>8205.0400000000009</v>
      </c>
      <c r="H427" s="7">
        <v>1881.66</v>
      </c>
      <c r="I427" s="7">
        <f t="shared" si="6"/>
        <v>6323.380000000001</v>
      </c>
    </row>
    <row r="428" spans="1:9" x14ac:dyDescent="0.35">
      <c r="A428" s="3">
        <v>45438</v>
      </c>
      <c r="B428" t="s">
        <v>8</v>
      </c>
      <c r="C428" t="s">
        <v>17</v>
      </c>
      <c r="D428" t="s">
        <v>28</v>
      </c>
      <c r="E428">
        <v>4</v>
      </c>
      <c r="F428" s="7">
        <v>919.76</v>
      </c>
      <c r="G428" s="7">
        <v>3679.04</v>
      </c>
      <c r="H428" s="7">
        <v>774.96</v>
      </c>
      <c r="I428" s="7">
        <f t="shared" si="6"/>
        <v>2904.08</v>
      </c>
    </row>
    <row r="429" spans="1:9" x14ac:dyDescent="0.35">
      <c r="A429" s="3">
        <v>45439</v>
      </c>
      <c r="B429" t="s">
        <v>12</v>
      </c>
      <c r="C429" t="s">
        <v>17</v>
      </c>
      <c r="D429" t="s">
        <v>28</v>
      </c>
      <c r="E429">
        <v>10</v>
      </c>
      <c r="F429" s="7">
        <v>778.47</v>
      </c>
      <c r="G429" s="7">
        <v>7784.7</v>
      </c>
      <c r="H429" s="7">
        <v>1019.74</v>
      </c>
      <c r="I429" s="7">
        <f t="shared" si="6"/>
        <v>6764.96</v>
      </c>
    </row>
    <row r="430" spans="1:9" x14ac:dyDescent="0.35">
      <c r="A430" s="3">
        <v>45439</v>
      </c>
      <c r="B430" t="s">
        <v>10</v>
      </c>
      <c r="C430" t="s">
        <v>14</v>
      </c>
      <c r="D430" t="s">
        <v>18</v>
      </c>
      <c r="E430">
        <v>9</v>
      </c>
      <c r="F430" s="7">
        <v>1062.17</v>
      </c>
      <c r="G430" s="7">
        <v>9559.5300000000007</v>
      </c>
      <c r="H430" s="7">
        <v>1728.51</v>
      </c>
      <c r="I430" s="7">
        <f t="shared" si="6"/>
        <v>7831.02</v>
      </c>
    </row>
    <row r="431" spans="1:9" x14ac:dyDescent="0.35">
      <c r="A431" s="3">
        <v>45439</v>
      </c>
      <c r="B431" t="s">
        <v>8</v>
      </c>
      <c r="C431" t="s">
        <v>15</v>
      </c>
      <c r="D431" t="s">
        <v>23</v>
      </c>
      <c r="E431">
        <v>10</v>
      </c>
      <c r="F431" s="7">
        <v>1034.69</v>
      </c>
      <c r="G431" s="7">
        <v>10346.9</v>
      </c>
      <c r="H431" s="7">
        <v>2366.36</v>
      </c>
      <c r="I431" s="7">
        <f t="shared" si="6"/>
        <v>7980.5399999999991</v>
      </c>
    </row>
    <row r="432" spans="1:9" x14ac:dyDescent="0.35">
      <c r="A432" s="3">
        <v>45440</v>
      </c>
      <c r="B432" t="s">
        <v>12</v>
      </c>
      <c r="C432" t="s">
        <v>16</v>
      </c>
      <c r="D432" t="s">
        <v>26</v>
      </c>
      <c r="E432">
        <v>1</v>
      </c>
      <c r="F432" s="7">
        <v>2484.9699999999998</v>
      </c>
      <c r="G432" s="7">
        <v>2484.9699999999998</v>
      </c>
      <c r="H432" s="7">
        <v>571.69000000000005</v>
      </c>
      <c r="I432" s="7">
        <f t="shared" si="6"/>
        <v>1913.2799999999997</v>
      </c>
    </row>
    <row r="433" spans="1:9" x14ac:dyDescent="0.35">
      <c r="A433" s="3">
        <v>45441</v>
      </c>
      <c r="B433" t="s">
        <v>8</v>
      </c>
      <c r="C433" t="s">
        <v>16</v>
      </c>
      <c r="D433" t="s">
        <v>29</v>
      </c>
      <c r="E433">
        <v>6</v>
      </c>
      <c r="F433" s="7">
        <v>2156.96</v>
      </c>
      <c r="G433" s="7">
        <v>12941.76</v>
      </c>
      <c r="H433" s="7">
        <v>2772.4</v>
      </c>
      <c r="I433" s="7">
        <f t="shared" si="6"/>
        <v>10169.36</v>
      </c>
    </row>
    <row r="434" spans="1:9" x14ac:dyDescent="0.35">
      <c r="A434" s="3">
        <v>45441</v>
      </c>
      <c r="B434" t="s">
        <v>11</v>
      </c>
      <c r="C434" t="s">
        <v>17</v>
      </c>
      <c r="D434" t="s">
        <v>27</v>
      </c>
      <c r="E434">
        <v>3</v>
      </c>
      <c r="F434" s="7">
        <v>1654.85</v>
      </c>
      <c r="G434" s="7">
        <v>4964.55</v>
      </c>
      <c r="H434" s="7">
        <v>696.56</v>
      </c>
      <c r="I434" s="7">
        <f t="shared" si="6"/>
        <v>4267.99</v>
      </c>
    </row>
    <row r="435" spans="1:9" x14ac:dyDescent="0.35">
      <c r="A435" s="3">
        <v>45442</v>
      </c>
      <c r="B435" t="s">
        <v>8</v>
      </c>
      <c r="C435" t="s">
        <v>17</v>
      </c>
      <c r="D435" t="s">
        <v>28</v>
      </c>
      <c r="E435">
        <v>2</v>
      </c>
      <c r="F435" s="7">
        <v>1305.7</v>
      </c>
      <c r="G435" s="7">
        <v>2611.4</v>
      </c>
      <c r="H435" s="7">
        <v>554.85</v>
      </c>
      <c r="I435" s="7">
        <f t="shared" si="6"/>
        <v>2056.5500000000002</v>
      </c>
    </row>
    <row r="436" spans="1:9" x14ac:dyDescent="0.35">
      <c r="A436" s="3">
        <v>45442</v>
      </c>
      <c r="B436" t="s">
        <v>8</v>
      </c>
      <c r="C436" t="s">
        <v>15</v>
      </c>
      <c r="D436" t="s">
        <v>30</v>
      </c>
      <c r="E436">
        <v>8</v>
      </c>
      <c r="F436" s="7">
        <v>1154.58</v>
      </c>
      <c r="G436" s="7">
        <v>9236.64</v>
      </c>
      <c r="H436" s="7">
        <v>927.09</v>
      </c>
      <c r="I436" s="7">
        <f t="shared" si="6"/>
        <v>8309.5499999999993</v>
      </c>
    </row>
    <row r="437" spans="1:9" x14ac:dyDescent="0.35">
      <c r="A437" s="3">
        <v>45442</v>
      </c>
      <c r="B437" t="s">
        <v>11</v>
      </c>
      <c r="C437" t="s">
        <v>14</v>
      </c>
      <c r="D437" t="s">
        <v>19</v>
      </c>
      <c r="E437">
        <v>6</v>
      </c>
      <c r="F437" s="7">
        <v>2200.21</v>
      </c>
      <c r="G437" s="7">
        <v>13201.26</v>
      </c>
      <c r="H437" s="7">
        <v>2895.72</v>
      </c>
      <c r="I437" s="7">
        <f t="shared" si="6"/>
        <v>10305.540000000001</v>
      </c>
    </row>
    <row r="438" spans="1:9" x14ac:dyDescent="0.35">
      <c r="A438" s="3">
        <v>45442</v>
      </c>
      <c r="B438" t="s">
        <v>10</v>
      </c>
      <c r="C438" t="s">
        <v>16</v>
      </c>
      <c r="D438" t="s">
        <v>26</v>
      </c>
      <c r="E438">
        <v>4</v>
      </c>
      <c r="F438" s="7">
        <v>1489.43</v>
      </c>
      <c r="G438" s="7">
        <v>5957.72</v>
      </c>
      <c r="H438" s="7">
        <v>884.3</v>
      </c>
      <c r="I438" s="7">
        <f t="shared" si="6"/>
        <v>5073.42</v>
      </c>
    </row>
    <row r="439" spans="1:9" x14ac:dyDescent="0.35">
      <c r="A439" s="3">
        <v>45443</v>
      </c>
      <c r="B439" t="s">
        <v>13</v>
      </c>
      <c r="C439" t="s">
        <v>16</v>
      </c>
      <c r="D439" t="s">
        <v>25</v>
      </c>
      <c r="E439">
        <v>8</v>
      </c>
      <c r="F439" s="7">
        <v>2076.61</v>
      </c>
      <c r="G439" s="7">
        <v>16612.88</v>
      </c>
      <c r="H439" s="7">
        <v>3889.46</v>
      </c>
      <c r="I439" s="7">
        <f t="shared" si="6"/>
        <v>12723.420000000002</v>
      </c>
    </row>
    <row r="440" spans="1:9" x14ac:dyDescent="0.35">
      <c r="A440" s="3">
        <v>45443</v>
      </c>
      <c r="B440" t="s">
        <v>12</v>
      </c>
      <c r="C440" t="s">
        <v>14</v>
      </c>
      <c r="D440" t="s">
        <v>21</v>
      </c>
      <c r="E440">
        <v>8</v>
      </c>
      <c r="F440" s="7">
        <v>532.55999999999995</v>
      </c>
      <c r="G440" s="7">
        <v>4260.4799999999996</v>
      </c>
      <c r="H440" s="7">
        <v>1020.02</v>
      </c>
      <c r="I440" s="7">
        <f t="shared" si="6"/>
        <v>3240.4599999999996</v>
      </c>
    </row>
    <row r="441" spans="1:9" x14ac:dyDescent="0.35">
      <c r="A441" s="3">
        <v>45443</v>
      </c>
      <c r="B441" t="s">
        <v>8</v>
      </c>
      <c r="C441" t="s">
        <v>17</v>
      </c>
      <c r="D441" t="s">
        <v>27</v>
      </c>
      <c r="E441">
        <v>1</v>
      </c>
      <c r="F441" s="7">
        <v>2483.6799999999998</v>
      </c>
      <c r="G441" s="7">
        <v>2483.6799999999998</v>
      </c>
      <c r="H441" s="7">
        <v>407.75</v>
      </c>
      <c r="I441" s="7">
        <f t="shared" si="6"/>
        <v>2075.9299999999998</v>
      </c>
    </row>
    <row r="442" spans="1:9" x14ac:dyDescent="0.35">
      <c r="A442" s="3">
        <v>45444</v>
      </c>
      <c r="B442" t="s">
        <v>13</v>
      </c>
      <c r="C442" t="s">
        <v>15</v>
      </c>
      <c r="D442" t="s">
        <v>24</v>
      </c>
      <c r="E442">
        <v>5</v>
      </c>
      <c r="F442" s="7">
        <v>686.68</v>
      </c>
      <c r="G442" s="7">
        <v>3433.4</v>
      </c>
      <c r="H442" s="7">
        <v>528.97</v>
      </c>
      <c r="I442" s="7">
        <f t="shared" si="6"/>
        <v>2904.4300000000003</v>
      </c>
    </row>
    <row r="443" spans="1:9" x14ac:dyDescent="0.35">
      <c r="A443" s="3">
        <v>45444</v>
      </c>
      <c r="B443" t="s">
        <v>8</v>
      </c>
      <c r="C443" t="s">
        <v>15</v>
      </c>
      <c r="D443" t="s">
        <v>24</v>
      </c>
      <c r="E443">
        <v>1</v>
      </c>
      <c r="F443" s="7">
        <v>1292.68</v>
      </c>
      <c r="G443" s="7">
        <v>1292.68</v>
      </c>
      <c r="H443" s="7">
        <v>188.51</v>
      </c>
      <c r="I443" s="7">
        <f t="shared" si="6"/>
        <v>1104.17</v>
      </c>
    </row>
    <row r="444" spans="1:9" x14ac:dyDescent="0.35">
      <c r="A444" s="3">
        <v>45445</v>
      </c>
      <c r="B444" t="s">
        <v>12</v>
      </c>
      <c r="C444" t="s">
        <v>17</v>
      </c>
      <c r="D444" t="s">
        <v>28</v>
      </c>
      <c r="E444">
        <v>2</v>
      </c>
      <c r="F444" s="7">
        <v>502.17</v>
      </c>
      <c r="G444" s="7">
        <v>1004.34</v>
      </c>
      <c r="H444" s="7">
        <v>172.27</v>
      </c>
      <c r="I444" s="7">
        <f t="shared" si="6"/>
        <v>832.07</v>
      </c>
    </row>
    <row r="445" spans="1:9" x14ac:dyDescent="0.35">
      <c r="A445" s="3">
        <v>45445</v>
      </c>
      <c r="B445" t="s">
        <v>13</v>
      </c>
      <c r="C445" t="s">
        <v>16</v>
      </c>
      <c r="D445" t="s">
        <v>25</v>
      </c>
      <c r="E445">
        <v>8</v>
      </c>
      <c r="F445" s="7">
        <v>518.57000000000005</v>
      </c>
      <c r="G445" s="7">
        <v>4148.5600000000004</v>
      </c>
      <c r="H445" s="7">
        <v>847.71</v>
      </c>
      <c r="I445" s="7">
        <f t="shared" si="6"/>
        <v>3300.8500000000004</v>
      </c>
    </row>
    <row r="446" spans="1:9" x14ac:dyDescent="0.35">
      <c r="A446" s="3">
        <v>45446</v>
      </c>
      <c r="B446" t="s">
        <v>13</v>
      </c>
      <c r="C446" t="s">
        <v>16</v>
      </c>
      <c r="D446" t="s">
        <v>26</v>
      </c>
      <c r="E446">
        <v>2</v>
      </c>
      <c r="F446" s="7">
        <v>957.89</v>
      </c>
      <c r="G446" s="7">
        <v>1915.78</v>
      </c>
      <c r="H446" s="7">
        <v>217.25</v>
      </c>
      <c r="I446" s="7">
        <f t="shared" si="6"/>
        <v>1698.53</v>
      </c>
    </row>
    <row r="447" spans="1:9" x14ac:dyDescent="0.35">
      <c r="A447" s="3">
        <v>45446</v>
      </c>
      <c r="B447" t="s">
        <v>12</v>
      </c>
      <c r="C447" t="s">
        <v>14</v>
      </c>
      <c r="D447" t="s">
        <v>18</v>
      </c>
      <c r="E447">
        <v>6</v>
      </c>
      <c r="F447" s="7">
        <v>2261.98</v>
      </c>
      <c r="G447" s="7">
        <v>13571.88</v>
      </c>
      <c r="H447" s="7">
        <v>1636.35</v>
      </c>
      <c r="I447" s="7">
        <f t="shared" si="6"/>
        <v>11935.529999999999</v>
      </c>
    </row>
    <row r="448" spans="1:9" x14ac:dyDescent="0.35">
      <c r="A448" s="3">
        <v>45446</v>
      </c>
      <c r="B448" t="s">
        <v>12</v>
      </c>
      <c r="C448" t="s">
        <v>16</v>
      </c>
      <c r="D448" t="s">
        <v>29</v>
      </c>
      <c r="E448">
        <v>9</v>
      </c>
      <c r="F448" s="7">
        <v>1626.58</v>
      </c>
      <c r="G448" s="7">
        <v>14639.22</v>
      </c>
      <c r="H448" s="7">
        <v>2804.11</v>
      </c>
      <c r="I448" s="7">
        <f t="shared" si="6"/>
        <v>11835.109999999999</v>
      </c>
    </row>
    <row r="449" spans="1:9" x14ac:dyDescent="0.35">
      <c r="A449" s="3">
        <v>45446</v>
      </c>
      <c r="B449" t="s">
        <v>11</v>
      </c>
      <c r="C449" t="s">
        <v>17</v>
      </c>
      <c r="D449" t="s">
        <v>27</v>
      </c>
      <c r="E449">
        <v>4</v>
      </c>
      <c r="F449" s="7">
        <v>1756.16</v>
      </c>
      <c r="G449" s="7">
        <v>7024.64</v>
      </c>
      <c r="H449" s="7">
        <v>861.97</v>
      </c>
      <c r="I449" s="7">
        <f t="shared" si="6"/>
        <v>6162.67</v>
      </c>
    </row>
    <row r="450" spans="1:9" x14ac:dyDescent="0.35">
      <c r="A450" s="3">
        <v>45447</v>
      </c>
      <c r="B450" t="s">
        <v>13</v>
      </c>
      <c r="C450" t="s">
        <v>17</v>
      </c>
      <c r="D450" t="s">
        <v>28</v>
      </c>
      <c r="E450">
        <v>2</v>
      </c>
      <c r="F450" s="7">
        <v>2293.19</v>
      </c>
      <c r="G450" s="7">
        <v>4586.38</v>
      </c>
      <c r="H450" s="7">
        <v>554.96</v>
      </c>
      <c r="I450" s="7">
        <f t="shared" si="6"/>
        <v>4031.42</v>
      </c>
    </row>
    <row r="451" spans="1:9" x14ac:dyDescent="0.35">
      <c r="A451" s="3">
        <v>45447</v>
      </c>
      <c r="B451" t="s">
        <v>10</v>
      </c>
      <c r="C451" t="s">
        <v>17</v>
      </c>
      <c r="D451" t="s">
        <v>27</v>
      </c>
      <c r="E451">
        <v>7</v>
      </c>
      <c r="F451" s="7">
        <v>1129.01</v>
      </c>
      <c r="G451" s="7">
        <v>7903.07</v>
      </c>
      <c r="H451" s="7">
        <v>956.07</v>
      </c>
      <c r="I451" s="7">
        <f t="shared" ref="I451:I501" si="7">G451-H451</f>
        <v>6947</v>
      </c>
    </row>
    <row r="452" spans="1:9" x14ac:dyDescent="0.35">
      <c r="A452" s="3">
        <v>45447</v>
      </c>
      <c r="B452" t="s">
        <v>10</v>
      </c>
      <c r="C452" t="s">
        <v>14</v>
      </c>
      <c r="D452" t="s">
        <v>20</v>
      </c>
      <c r="E452">
        <v>9</v>
      </c>
      <c r="F452" s="7">
        <v>1702</v>
      </c>
      <c r="G452" s="7">
        <v>15318</v>
      </c>
      <c r="H452" s="7">
        <v>3188.85</v>
      </c>
      <c r="I452" s="7">
        <f t="shared" si="7"/>
        <v>12129.15</v>
      </c>
    </row>
    <row r="453" spans="1:9" x14ac:dyDescent="0.35">
      <c r="A453" s="3">
        <v>45447</v>
      </c>
      <c r="B453" t="s">
        <v>8</v>
      </c>
      <c r="C453" t="s">
        <v>14</v>
      </c>
      <c r="D453" t="s">
        <v>18</v>
      </c>
      <c r="E453">
        <v>4</v>
      </c>
      <c r="F453" s="7">
        <v>1535.5</v>
      </c>
      <c r="G453" s="7">
        <v>6142</v>
      </c>
      <c r="H453" s="7">
        <v>1083.6199999999999</v>
      </c>
      <c r="I453" s="7">
        <f t="shared" si="7"/>
        <v>5058.38</v>
      </c>
    </row>
    <row r="454" spans="1:9" x14ac:dyDescent="0.35">
      <c r="A454" s="3">
        <v>45447</v>
      </c>
      <c r="B454" t="s">
        <v>12</v>
      </c>
      <c r="C454" t="s">
        <v>17</v>
      </c>
      <c r="D454" t="s">
        <v>27</v>
      </c>
      <c r="E454">
        <v>1</v>
      </c>
      <c r="F454" s="7">
        <v>2067.6</v>
      </c>
      <c r="G454" s="7">
        <v>2067.6</v>
      </c>
      <c r="H454" s="7">
        <v>452.94</v>
      </c>
      <c r="I454" s="7">
        <f t="shared" si="7"/>
        <v>1614.6599999999999</v>
      </c>
    </row>
    <row r="455" spans="1:9" x14ac:dyDescent="0.35">
      <c r="A455" s="3">
        <v>45448</v>
      </c>
      <c r="B455" t="s">
        <v>9</v>
      </c>
      <c r="C455" t="s">
        <v>17</v>
      </c>
      <c r="D455" t="s">
        <v>28</v>
      </c>
      <c r="E455">
        <v>4</v>
      </c>
      <c r="F455" s="7">
        <v>1499.17</v>
      </c>
      <c r="G455" s="7">
        <v>5996.68</v>
      </c>
      <c r="H455" s="7">
        <v>1133.9100000000001</v>
      </c>
      <c r="I455" s="7">
        <f t="shared" si="7"/>
        <v>4862.7700000000004</v>
      </c>
    </row>
    <row r="456" spans="1:9" x14ac:dyDescent="0.35">
      <c r="A456" s="3">
        <v>45448</v>
      </c>
      <c r="B456" t="s">
        <v>9</v>
      </c>
      <c r="C456" t="s">
        <v>14</v>
      </c>
      <c r="D456" t="s">
        <v>18</v>
      </c>
      <c r="E456">
        <v>6</v>
      </c>
      <c r="F456" s="7">
        <v>763.97</v>
      </c>
      <c r="G456" s="7">
        <v>4583.82</v>
      </c>
      <c r="H456" s="7">
        <v>1050.25</v>
      </c>
      <c r="I456" s="7">
        <f t="shared" si="7"/>
        <v>3533.5699999999997</v>
      </c>
    </row>
    <row r="457" spans="1:9" x14ac:dyDescent="0.35">
      <c r="A457" s="3">
        <v>45448</v>
      </c>
      <c r="B457" t="s">
        <v>13</v>
      </c>
      <c r="C457" t="s">
        <v>17</v>
      </c>
      <c r="D457" t="s">
        <v>27</v>
      </c>
      <c r="E457">
        <v>9</v>
      </c>
      <c r="F457" s="7">
        <v>1865.88</v>
      </c>
      <c r="G457" s="7">
        <v>16792.919999999998</v>
      </c>
      <c r="H457" s="7">
        <v>3600.55</v>
      </c>
      <c r="I457" s="7">
        <f t="shared" si="7"/>
        <v>13192.369999999999</v>
      </c>
    </row>
    <row r="458" spans="1:9" x14ac:dyDescent="0.35">
      <c r="A458" s="3">
        <v>45448</v>
      </c>
      <c r="B458" t="s">
        <v>13</v>
      </c>
      <c r="C458" t="s">
        <v>14</v>
      </c>
      <c r="D458" t="s">
        <v>21</v>
      </c>
      <c r="E458">
        <v>1</v>
      </c>
      <c r="F458" s="7">
        <v>1024.3699999999999</v>
      </c>
      <c r="G458" s="7">
        <v>1024.3699999999999</v>
      </c>
      <c r="H458" s="7">
        <v>108.56</v>
      </c>
      <c r="I458" s="7">
        <f t="shared" si="7"/>
        <v>915.81</v>
      </c>
    </row>
    <row r="459" spans="1:9" x14ac:dyDescent="0.35">
      <c r="A459" s="3">
        <v>45449</v>
      </c>
      <c r="B459" t="s">
        <v>9</v>
      </c>
      <c r="C459" t="s">
        <v>15</v>
      </c>
      <c r="D459" t="s">
        <v>30</v>
      </c>
      <c r="E459">
        <v>7</v>
      </c>
      <c r="F459" s="7">
        <v>1903.62</v>
      </c>
      <c r="G459" s="7">
        <v>13325.34</v>
      </c>
      <c r="H459" s="7">
        <v>1497.29</v>
      </c>
      <c r="I459" s="7">
        <f t="shared" si="7"/>
        <v>11828.05</v>
      </c>
    </row>
    <row r="460" spans="1:9" x14ac:dyDescent="0.35">
      <c r="A460" s="3">
        <v>45449</v>
      </c>
      <c r="B460" t="s">
        <v>12</v>
      </c>
      <c r="C460" t="s">
        <v>16</v>
      </c>
      <c r="D460" t="s">
        <v>26</v>
      </c>
      <c r="E460">
        <v>2</v>
      </c>
      <c r="F460" s="7">
        <v>1119.81</v>
      </c>
      <c r="G460" s="7">
        <v>2239.62</v>
      </c>
      <c r="H460" s="7">
        <v>395.73</v>
      </c>
      <c r="I460" s="7">
        <f t="shared" si="7"/>
        <v>1843.8899999999999</v>
      </c>
    </row>
    <row r="461" spans="1:9" x14ac:dyDescent="0.35">
      <c r="A461" s="3">
        <v>45449</v>
      </c>
      <c r="B461" t="s">
        <v>8</v>
      </c>
      <c r="C461" t="s">
        <v>16</v>
      </c>
      <c r="D461" t="s">
        <v>25</v>
      </c>
      <c r="E461">
        <v>6</v>
      </c>
      <c r="F461" s="7">
        <v>1281.46</v>
      </c>
      <c r="G461" s="7">
        <v>7688.76</v>
      </c>
      <c r="H461" s="7">
        <v>1500.42</v>
      </c>
      <c r="I461" s="7">
        <f t="shared" si="7"/>
        <v>6188.34</v>
      </c>
    </row>
    <row r="462" spans="1:9" x14ac:dyDescent="0.35">
      <c r="A462" s="3">
        <v>45449</v>
      </c>
      <c r="B462" t="s">
        <v>13</v>
      </c>
      <c r="C462" t="s">
        <v>14</v>
      </c>
      <c r="D462" t="s">
        <v>18</v>
      </c>
      <c r="E462">
        <v>7</v>
      </c>
      <c r="F462" s="7">
        <v>1959.92</v>
      </c>
      <c r="G462" s="7">
        <v>13719.44</v>
      </c>
      <c r="H462" s="7">
        <v>3113.9</v>
      </c>
      <c r="I462" s="7">
        <f t="shared" si="7"/>
        <v>10605.54</v>
      </c>
    </row>
    <row r="463" spans="1:9" x14ac:dyDescent="0.35">
      <c r="A463" s="3">
        <v>45450</v>
      </c>
      <c r="B463" t="s">
        <v>10</v>
      </c>
      <c r="C463" t="s">
        <v>14</v>
      </c>
      <c r="D463" t="s">
        <v>19</v>
      </c>
      <c r="E463">
        <v>2</v>
      </c>
      <c r="F463" s="7">
        <v>1406.74</v>
      </c>
      <c r="G463" s="7">
        <v>2813.48</v>
      </c>
      <c r="H463" s="7">
        <v>538.29</v>
      </c>
      <c r="I463" s="7">
        <f t="shared" si="7"/>
        <v>2275.19</v>
      </c>
    </row>
    <row r="464" spans="1:9" x14ac:dyDescent="0.35">
      <c r="A464" s="3">
        <v>45450</v>
      </c>
      <c r="B464" t="s">
        <v>12</v>
      </c>
      <c r="C464" t="s">
        <v>16</v>
      </c>
      <c r="D464" t="s">
        <v>29</v>
      </c>
      <c r="E464">
        <v>1</v>
      </c>
      <c r="F464" s="7">
        <v>1915.8</v>
      </c>
      <c r="G464" s="7">
        <v>1915.8</v>
      </c>
      <c r="H464" s="7">
        <v>393.17</v>
      </c>
      <c r="I464" s="7">
        <f t="shared" si="7"/>
        <v>1522.6299999999999</v>
      </c>
    </row>
    <row r="465" spans="1:9" x14ac:dyDescent="0.35">
      <c r="A465" s="3">
        <v>45451</v>
      </c>
      <c r="B465" t="s">
        <v>10</v>
      </c>
      <c r="C465" t="s">
        <v>15</v>
      </c>
      <c r="D465" t="s">
        <v>23</v>
      </c>
      <c r="E465">
        <v>3</v>
      </c>
      <c r="F465" s="7">
        <v>1243.74</v>
      </c>
      <c r="G465" s="7">
        <v>3731.22</v>
      </c>
      <c r="H465" s="7">
        <v>792.76</v>
      </c>
      <c r="I465" s="7">
        <f t="shared" si="7"/>
        <v>2938.46</v>
      </c>
    </row>
    <row r="466" spans="1:9" x14ac:dyDescent="0.35">
      <c r="A466" s="3">
        <v>45451</v>
      </c>
      <c r="B466" t="s">
        <v>13</v>
      </c>
      <c r="C466" t="s">
        <v>14</v>
      </c>
      <c r="D466" t="s">
        <v>21</v>
      </c>
      <c r="E466">
        <v>6</v>
      </c>
      <c r="F466" s="7">
        <v>2114.2199999999998</v>
      </c>
      <c r="G466" s="7">
        <v>12685.32</v>
      </c>
      <c r="H466" s="7">
        <v>1786.06</v>
      </c>
      <c r="I466" s="7">
        <f t="shared" si="7"/>
        <v>10899.26</v>
      </c>
    </row>
    <row r="467" spans="1:9" x14ac:dyDescent="0.35">
      <c r="A467" s="3">
        <v>45451</v>
      </c>
      <c r="B467" t="s">
        <v>11</v>
      </c>
      <c r="C467" t="s">
        <v>15</v>
      </c>
      <c r="D467" t="s">
        <v>22</v>
      </c>
      <c r="E467">
        <v>8</v>
      </c>
      <c r="F467" s="7">
        <v>1410.4</v>
      </c>
      <c r="G467" s="7">
        <v>11283.2</v>
      </c>
      <c r="H467" s="7">
        <v>1737.82</v>
      </c>
      <c r="I467" s="7">
        <f t="shared" si="7"/>
        <v>9545.380000000001</v>
      </c>
    </row>
    <row r="468" spans="1:9" x14ac:dyDescent="0.35">
      <c r="A468" s="3">
        <v>45451</v>
      </c>
      <c r="B468" t="s">
        <v>9</v>
      </c>
      <c r="C468" t="s">
        <v>16</v>
      </c>
      <c r="D468" t="s">
        <v>26</v>
      </c>
      <c r="E468">
        <v>3</v>
      </c>
      <c r="F468" s="7">
        <v>1010.23</v>
      </c>
      <c r="G468" s="7">
        <v>3030.69</v>
      </c>
      <c r="H468" s="7">
        <v>349.85</v>
      </c>
      <c r="I468" s="7">
        <f t="shared" si="7"/>
        <v>2680.84</v>
      </c>
    </row>
    <row r="469" spans="1:9" x14ac:dyDescent="0.35">
      <c r="A469" s="3">
        <v>45452</v>
      </c>
      <c r="B469" t="s">
        <v>13</v>
      </c>
      <c r="C469" t="s">
        <v>16</v>
      </c>
      <c r="D469" t="s">
        <v>25</v>
      </c>
      <c r="E469">
        <v>9</v>
      </c>
      <c r="F469" s="7">
        <v>505.14</v>
      </c>
      <c r="G469" s="7">
        <v>4546.26</v>
      </c>
      <c r="H469" s="7">
        <v>1040.2</v>
      </c>
      <c r="I469" s="7">
        <f t="shared" si="7"/>
        <v>3506.0600000000004</v>
      </c>
    </row>
    <row r="470" spans="1:9" x14ac:dyDescent="0.35">
      <c r="A470" s="3">
        <v>45453</v>
      </c>
      <c r="B470" t="s">
        <v>13</v>
      </c>
      <c r="C470" t="s">
        <v>14</v>
      </c>
      <c r="D470" t="s">
        <v>19</v>
      </c>
      <c r="E470">
        <v>6</v>
      </c>
      <c r="F470" s="7">
        <v>1265.96</v>
      </c>
      <c r="G470" s="7">
        <v>7595.76</v>
      </c>
      <c r="H470" s="7">
        <v>930.58</v>
      </c>
      <c r="I470" s="7">
        <f t="shared" si="7"/>
        <v>6665.18</v>
      </c>
    </row>
    <row r="471" spans="1:9" x14ac:dyDescent="0.35">
      <c r="A471" s="3">
        <v>45453</v>
      </c>
      <c r="B471" t="s">
        <v>10</v>
      </c>
      <c r="C471" t="s">
        <v>17</v>
      </c>
      <c r="D471" t="s">
        <v>28</v>
      </c>
      <c r="E471">
        <v>6</v>
      </c>
      <c r="F471" s="7">
        <v>996.53</v>
      </c>
      <c r="G471" s="7">
        <v>5979.18</v>
      </c>
      <c r="H471" s="7">
        <v>1419.33</v>
      </c>
      <c r="I471" s="7">
        <f t="shared" si="7"/>
        <v>4559.8500000000004</v>
      </c>
    </row>
    <row r="472" spans="1:9" x14ac:dyDescent="0.35">
      <c r="A472" s="3">
        <v>45454</v>
      </c>
      <c r="B472" t="s">
        <v>12</v>
      </c>
      <c r="C472" t="s">
        <v>14</v>
      </c>
      <c r="D472" t="s">
        <v>18</v>
      </c>
      <c r="E472">
        <v>2</v>
      </c>
      <c r="F472" s="7">
        <v>1504.08</v>
      </c>
      <c r="G472" s="7">
        <v>3008.16</v>
      </c>
      <c r="H472" s="7">
        <v>707.79</v>
      </c>
      <c r="I472" s="7">
        <f t="shared" si="7"/>
        <v>2300.37</v>
      </c>
    </row>
    <row r="473" spans="1:9" x14ac:dyDescent="0.35">
      <c r="A473" s="3">
        <v>45454</v>
      </c>
      <c r="B473" t="s">
        <v>11</v>
      </c>
      <c r="C473" t="s">
        <v>16</v>
      </c>
      <c r="D473" t="s">
        <v>25</v>
      </c>
      <c r="E473">
        <v>1</v>
      </c>
      <c r="F473" s="7">
        <v>2408.16</v>
      </c>
      <c r="G473" s="7">
        <v>2408.16</v>
      </c>
      <c r="H473" s="7">
        <v>265.70999999999998</v>
      </c>
      <c r="I473" s="7">
        <f t="shared" si="7"/>
        <v>2142.4499999999998</v>
      </c>
    </row>
    <row r="474" spans="1:9" x14ac:dyDescent="0.35">
      <c r="A474" s="3">
        <v>45454</v>
      </c>
      <c r="B474" t="s">
        <v>10</v>
      </c>
      <c r="C474" t="s">
        <v>15</v>
      </c>
      <c r="D474" t="s">
        <v>23</v>
      </c>
      <c r="E474">
        <v>6</v>
      </c>
      <c r="F474" s="7">
        <v>672.77</v>
      </c>
      <c r="G474" s="7">
        <v>4036.62</v>
      </c>
      <c r="H474" s="7">
        <v>680.22</v>
      </c>
      <c r="I474" s="7">
        <f t="shared" si="7"/>
        <v>3356.3999999999996</v>
      </c>
    </row>
    <row r="475" spans="1:9" x14ac:dyDescent="0.35">
      <c r="A475" s="3">
        <v>45455</v>
      </c>
      <c r="B475" t="s">
        <v>11</v>
      </c>
      <c r="C475" t="s">
        <v>15</v>
      </c>
      <c r="D475" t="s">
        <v>23</v>
      </c>
      <c r="E475">
        <v>10</v>
      </c>
      <c r="F475" s="7">
        <v>985.17</v>
      </c>
      <c r="G475" s="7">
        <v>9851.7000000000007</v>
      </c>
      <c r="H475" s="7">
        <v>1529.39</v>
      </c>
      <c r="I475" s="7">
        <f t="shared" si="7"/>
        <v>8322.3100000000013</v>
      </c>
    </row>
    <row r="476" spans="1:9" x14ac:dyDescent="0.35">
      <c r="A476" s="3">
        <v>45455</v>
      </c>
      <c r="B476" t="s">
        <v>13</v>
      </c>
      <c r="C476" t="s">
        <v>16</v>
      </c>
      <c r="D476" t="s">
        <v>25</v>
      </c>
      <c r="E476">
        <v>9</v>
      </c>
      <c r="F476" s="7">
        <v>2020.96</v>
      </c>
      <c r="G476" s="7">
        <v>18188.64</v>
      </c>
      <c r="H476" s="7">
        <v>2487.64</v>
      </c>
      <c r="I476" s="7">
        <f t="shared" si="7"/>
        <v>15701</v>
      </c>
    </row>
    <row r="477" spans="1:9" x14ac:dyDescent="0.35">
      <c r="A477" s="3">
        <v>45456</v>
      </c>
      <c r="B477" t="s">
        <v>13</v>
      </c>
      <c r="C477" t="s">
        <v>14</v>
      </c>
      <c r="D477" t="s">
        <v>20</v>
      </c>
      <c r="E477">
        <v>9</v>
      </c>
      <c r="F477" s="7">
        <v>1192.8499999999999</v>
      </c>
      <c r="G477" s="7">
        <v>10735.65</v>
      </c>
      <c r="H477" s="7">
        <v>2425.5700000000002</v>
      </c>
      <c r="I477" s="7">
        <f t="shared" si="7"/>
        <v>8310.08</v>
      </c>
    </row>
    <row r="478" spans="1:9" x14ac:dyDescent="0.35">
      <c r="A478" s="3">
        <v>45456</v>
      </c>
      <c r="B478" t="s">
        <v>13</v>
      </c>
      <c r="C478" t="s">
        <v>15</v>
      </c>
      <c r="D478" t="s">
        <v>22</v>
      </c>
      <c r="E478">
        <v>7</v>
      </c>
      <c r="F478" s="7">
        <v>2198.0100000000002</v>
      </c>
      <c r="G478" s="7">
        <v>15386.07</v>
      </c>
      <c r="H478" s="7">
        <v>3216.95</v>
      </c>
      <c r="I478" s="7">
        <f t="shared" si="7"/>
        <v>12169.119999999999</v>
      </c>
    </row>
    <row r="479" spans="1:9" x14ac:dyDescent="0.35">
      <c r="A479" s="3">
        <v>45456</v>
      </c>
      <c r="B479" t="s">
        <v>12</v>
      </c>
      <c r="C479" t="s">
        <v>16</v>
      </c>
      <c r="D479" t="s">
        <v>25</v>
      </c>
      <c r="E479">
        <v>4</v>
      </c>
      <c r="F479" s="7">
        <v>1339.63</v>
      </c>
      <c r="G479" s="7">
        <v>5358.52</v>
      </c>
      <c r="H479" s="7">
        <v>1308.43</v>
      </c>
      <c r="I479" s="7">
        <f t="shared" si="7"/>
        <v>4050.09</v>
      </c>
    </row>
    <row r="480" spans="1:9" x14ac:dyDescent="0.35">
      <c r="A480" s="3">
        <v>45456</v>
      </c>
      <c r="B480" t="s">
        <v>9</v>
      </c>
      <c r="C480" t="s">
        <v>15</v>
      </c>
      <c r="D480" t="s">
        <v>22</v>
      </c>
      <c r="E480">
        <v>1</v>
      </c>
      <c r="F480" s="7">
        <v>2342.5500000000002</v>
      </c>
      <c r="G480" s="7">
        <v>2342.5500000000002</v>
      </c>
      <c r="H480" s="7">
        <v>549.54999999999995</v>
      </c>
      <c r="I480" s="7">
        <f t="shared" si="7"/>
        <v>1793.0000000000002</v>
      </c>
    </row>
    <row r="481" spans="1:9" x14ac:dyDescent="0.35">
      <c r="A481" s="3">
        <v>45457</v>
      </c>
      <c r="B481" t="s">
        <v>8</v>
      </c>
      <c r="C481" t="s">
        <v>15</v>
      </c>
      <c r="D481" t="s">
        <v>30</v>
      </c>
      <c r="E481">
        <v>2</v>
      </c>
      <c r="F481" s="7">
        <v>1661.54</v>
      </c>
      <c r="G481" s="7">
        <v>3323.08</v>
      </c>
      <c r="H481" s="7">
        <v>584.24</v>
      </c>
      <c r="I481" s="7">
        <f t="shared" si="7"/>
        <v>2738.84</v>
      </c>
    </row>
    <row r="482" spans="1:9" x14ac:dyDescent="0.35">
      <c r="A482" s="3">
        <v>45457</v>
      </c>
      <c r="B482" t="s">
        <v>12</v>
      </c>
      <c r="C482" t="s">
        <v>17</v>
      </c>
      <c r="D482" t="s">
        <v>28</v>
      </c>
      <c r="E482">
        <v>10</v>
      </c>
      <c r="F482" s="7">
        <v>1635.64</v>
      </c>
      <c r="G482" s="7">
        <v>16356.4</v>
      </c>
      <c r="H482" s="7">
        <v>2702.85</v>
      </c>
      <c r="I482" s="7">
        <f t="shared" si="7"/>
        <v>13653.55</v>
      </c>
    </row>
    <row r="483" spans="1:9" x14ac:dyDescent="0.35">
      <c r="A483" s="3">
        <v>45457</v>
      </c>
      <c r="B483" t="s">
        <v>11</v>
      </c>
      <c r="C483" t="s">
        <v>16</v>
      </c>
      <c r="D483" t="s">
        <v>26</v>
      </c>
      <c r="E483">
        <v>5</v>
      </c>
      <c r="F483" s="7">
        <v>2201.83</v>
      </c>
      <c r="G483" s="7">
        <v>11009.15</v>
      </c>
      <c r="H483" s="7">
        <v>2630.16</v>
      </c>
      <c r="I483" s="7">
        <f t="shared" si="7"/>
        <v>8378.99</v>
      </c>
    </row>
    <row r="484" spans="1:9" x14ac:dyDescent="0.35">
      <c r="A484" s="3">
        <v>45457</v>
      </c>
      <c r="B484" t="s">
        <v>12</v>
      </c>
      <c r="C484" t="s">
        <v>15</v>
      </c>
      <c r="D484" t="s">
        <v>23</v>
      </c>
      <c r="E484">
        <v>8</v>
      </c>
      <c r="F484" s="7">
        <v>1043.9100000000001</v>
      </c>
      <c r="G484" s="7">
        <v>8351.2800000000007</v>
      </c>
      <c r="H484" s="7">
        <v>928.69</v>
      </c>
      <c r="I484" s="7">
        <f t="shared" si="7"/>
        <v>7422.59</v>
      </c>
    </row>
    <row r="485" spans="1:9" x14ac:dyDescent="0.35">
      <c r="A485" s="3">
        <v>45458</v>
      </c>
      <c r="B485" t="s">
        <v>11</v>
      </c>
      <c r="C485" t="s">
        <v>14</v>
      </c>
      <c r="D485" t="s">
        <v>20</v>
      </c>
      <c r="E485">
        <v>2</v>
      </c>
      <c r="F485" s="7">
        <v>828.75</v>
      </c>
      <c r="G485" s="7">
        <v>1657.5</v>
      </c>
      <c r="H485" s="7">
        <v>281.62</v>
      </c>
      <c r="I485" s="7">
        <f t="shared" si="7"/>
        <v>1375.88</v>
      </c>
    </row>
    <row r="486" spans="1:9" x14ac:dyDescent="0.35">
      <c r="A486" s="3">
        <v>45458</v>
      </c>
      <c r="B486" t="s">
        <v>13</v>
      </c>
      <c r="C486" t="s">
        <v>14</v>
      </c>
      <c r="D486" t="s">
        <v>18</v>
      </c>
      <c r="E486">
        <v>4</v>
      </c>
      <c r="F486" s="7">
        <v>1403.83</v>
      </c>
      <c r="G486" s="7">
        <v>5615.32</v>
      </c>
      <c r="H486" s="7">
        <v>951.81</v>
      </c>
      <c r="I486" s="7">
        <f t="shared" si="7"/>
        <v>4663.51</v>
      </c>
    </row>
    <row r="487" spans="1:9" x14ac:dyDescent="0.35">
      <c r="A487" s="3">
        <v>45459</v>
      </c>
      <c r="B487" t="s">
        <v>13</v>
      </c>
      <c r="C487" t="s">
        <v>16</v>
      </c>
      <c r="D487" t="s">
        <v>25</v>
      </c>
      <c r="E487">
        <v>5</v>
      </c>
      <c r="F487" s="7">
        <v>2152.77</v>
      </c>
      <c r="G487" s="7">
        <v>10763.85</v>
      </c>
      <c r="H487" s="7">
        <v>2201.5500000000002</v>
      </c>
      <c r="I487" s="7">
        <f t="shared" si="7"/>
        <v>8562.2999999999993</v>
      </c>
    </row>
    <row r="488" spans="1:9" x14ac:dyDescent="0.35">
      <c r="A488" s="3">
        <v>45460</v>
      </c>
      <c r="B488" t="s">
        <v>11</v>
      </c>
      <c r="C488" t="s">
        <v>15</v>
      </c>
      <c r="D488" t="s">
        <v>24</v>
      </c>
      <c r="E488">
        <v>2</v>
      </c>
      <c r="F488" s="7">
        <v>1922.31</v>
      </c>
      <c r="G488" s="7">
        <v>3844.62</v>
      </c>
      <c r="H488" s="7">
        <v>942.93</v>
      </c>
      <c r="I488" s="7">
        <f t="shared" si="7"/>
        <v>2901.69</v>
      </c>
    </row>
    <row r="489" spans="1:9" x14ac:dyDescent="0.35">
      <c r="A489" s="3">
        <v>45460</v>
      </c>
      <c r="B489" t="s">
        <v>11</v>
      </c>
      <c r="C489" t="s">
        <v>14</v>
      </c>
      <c r="D489" t="s">
        <v>18</v>
      </c>
      <c r="E489">
        <v>5</v>
      </c>
      <c r="F489" s="7">
        <v>2140.1799999999998</v>
      </c>
      <c r="G489" s="7">
        <v>10700.9</v>
      </c>
      <c r="H489" s="7">
        <v>1349.17</v>
      </c>
      <c r="I489" s="7">
        <f t="shared" si="7"/>
        <v>9351.73</v>
      </c>
    </row>
    <row r="490" spans="1:9" x14ac:dyDescent="0.35">
      <c r="A490" s="3">
        <v>45461</v>
      </c>
      <c r="B490" t="s">
        <v>13</v>
      </c>
      <c r="C490" t="s">
        <v>16</v>
      </c>
      <c r="D490" t="s">
        <v>29</v>
      </c>
      <c r="E490">
        <v>8</v>
      </c>
      <c r="F490" s="7">
        <v>703.81</v>
      </c>
      <c r="G490" s="7">
        <v>5630.48</v>
      </c>
      <c r="H490" s="7">
        <v>1233.48</v>
      </c>
      <c r="I490" s="7">
        <f t="shared" si="7"/>
        <v>4397</v>
      </c>
    </row>
    <row r="491" spans="1:9" x14ac:dyDescent="0.35">
      <c r="A491" s="3">
        <v>45461</v>
      </c>
      <c r="B491" t="s">
        <v>10</v>
      </c>
      <c r="C491" t="s">
        <v>14</v>
      </c>
      <c r="D491" t="s">
        <v>21</v>
      </c>
      <c r="E491">
        <v>4</v>
      </c>
      <c r="F491" s="7">
        <v>761.43</v>
      </c>
      <c r="G491" s="7">
        <v>3045.72</v>
      </c>
      <c r="H491" s="7">
        <v>680.87</v>
      </c>
      <c r="I491" s="7">
        <f t="shared" si="7"/>
        <v>2364.85</v>
      </c>
    </row>
    <row r="492" spans="1:9" x14ac:dyDescent="0.35">
      <c r="A492" s="3">
        <v>45461</v>
      </c>
      <c r="B492" t="s">
        <v>8</v>
      </c>
      <c r="C492" t="s">
        <v>14</v>
      </c>
      <c r="D492" t="s">
        <v>18</v>
      </c>
      <c r="E492">
        <v>2</v>
      </c>
      <c r="F492" s="7">
        <v>543.6</v>
      </c>
      <c r="G492" s="7">
        <v>1087.2</v>
      </c>
      <c r="H492" s="7">
        <v>119.23</v>
      </c>
      <c r="I492" s="7">
        <f t="shared" si="7"/>
        <v>967.97</v>
      </c>
    </row>
    <row r="493" spans="1:9" x14ac:dyDescent="0.35">
      <c r="A493" s="3">
        <v>45461</v>
      </c>
      <c r="B493" t="s">
        <v>10</v>
      </c>
      <c r="C493" t="s">
        <v>17</v>
      </c>
      <c r="D493" t="s">
        <v>28</v>
      </c>
      <c r="E493">
        <v>2</v>
      </c>
      <c r="F493" s="7">
        <v>2310.16</v>
      </c>
      <c r="G493" s="7">
        <v>4620.32</v>
      </c>
      <c r="H493" s="7">
        <v>1036.82</v>
      </c>
      <c r="I493" s="7">
        <f t="shared" si="7"/>
        <v>3583.5</v>
      </c>
    </row>
    <row r="494" spans="1:9" x14ac:dyDescent="0.35">
      <c r="A494" s="3">
        <v>45462</v>
      </c>
      <c r="B494" t="s">
        <v>8</v>
      </c>
      <c r="C494" t="s">
        <v>14</v>
      </c>
      <c r="D494" t="s">
        <v>19</v>
      </c>
      <c r="E494">
        <v>1</v>
      </c>
      <c r="F494" s="7">
        <v>835.98</v>
      </c>
      <c r="G494" s="7">
        <v>835.98</v>
      </c>
      <c r="H494" s="7">
        <v>155.56</v>
      </c>
      <c r="I494" s="7">
        <f t="shared" si="7"/>
        <v>680.42000000000007</v>
      </c>
    </row>
    <row r="495" spans="1:9" x14ac:dyDescent="0.35">
      <c r="A495" s="3">
        <v>45463</v>
      </c>
      <c r="B495" t="s">
        <v>12</v>
      </c>
      <c r="C495" t="s">
        <v>17</v>
      </c>
      <c r="D495" t="s">
        <v>28</v>
      </c>
      <c r="E495">
        <v>7</v>
      </c>
      <c r="F495" s="7">
        <v>1866.43</v>
      </c>
      <c r="G495" s="7">
        <v>13065.01</v>
      </c>
      <c r="H495" s="7">
        <v>1645.16</v>
      </c>
      <c r="I495" s="7">
        <f t="shared" si="7"/>
        <v>11419.85</v>
      </c>
    </row>
    <row r="496" spans="1:9" x14ac:dyDescent="0.35">
      <c r="A496" s="3">
        <v>45463</v>
      </c>
      <c r="B496" t="s">
        <v>9</v>
      </c>
      <c r="C496" t="s">
        <v>16</v>
      </c>
      <c r="D496" t="s">
        <v>26</v>
      </c>
      <c r="E496">
        <v>5</v>
      </c>
      <c r="F496" s="7">
        <v>1392.02</v>
      </c>
      <c r="G496" s="7">
        <v>6960.1</v>
      </c>
      <c r="H496" s="7">
        <v>851.18</v>
      </c>
      <c r="I496" s="7">
        <f t="shared" si="7"/>
        <v>6108.92</v>
      </c>
    </row>
    <row r="497" spans="1:9" x14ac:dyDescent="0.35">
      <c r="A497" s="3">
        <v>45463</v>
      </c>
      <c r="B497" t="s">
        <v>11</v>
      </c>
      <c r="C497" t="s">
        <v>16</v>
      </c>
      <c r="D497" t="s">
        <v>25</v>
      </c>
      <c r="E497">
        <v>5</v>
      </c>
      <c r="F497" s="7">
        <v>1497.78</v>
      </c>
      <c r="G497" s="7">
        <v>7488.9</v>
      </c>
      <c r="H497" s="7">
        <v>1740.55</v>
      </c>
      <c r="I497" s="7">
        <f t="shared" si="7"/>
        <v>5748.3499999999995</v>
      </c>
    </row>
    <row r="498" spans="1:9" x14ac:dyDescent="0.35">
      <c r="A498" s="3">
        <v>45463</v>
      </c>
      <c r="B498" t="s">
        <v>8</v>
      </c>
      <c r="C498" t="s">
        <v>14</v>
      </c>
      <c r="D498" t="s">
        <v>21</v>
      </c>
      <c r="E498">
        <v>5</v>
      </c>
      <c r="F498" s="7">
        <v>1266.03</v>
      </c>
      <c r="G498" s="7">
        <v>6330.15</v>
      </c>
      <c r="H498" s="7">
        <v>1031.0899999999999</v>
      </c>
      <c r="I498" s="7">
        <f t="shared" si="7"/>
        <v>5299.0599999999995</v>
      </c>
    </row>
    <row r="499" spans="1:9" x14ac:dyDescent="0.35">
      <c r="A499" s="3">
        <v>45464</v>
      </c>
      <c r="B499" t="s">
        <v>8</v>
      </c>
      <c r="C499" t="s">
        <v>16</v>
      </c>
      <c r="D499" t="s">
        <v>25</v>
      </c>
      <c r="E499">
        <v>9</v>
      </c>
      <c r="F499" s="7">
        <v>2089.69</v>
      </c>
      <c r="G499" s="7">
        <v>18807.21</v>
      </c>
      <c r="H499" s="7">
        <v>4671.91</v>
      </c>
      <c r="I499" s="7">
        <f t="shared" si="7"/>
        <v>14135.3</v>
      </c>
    </row>
    <row r="500" spans="1:9" x14ac:dyDescent="0.35">
      <c r="A500" s="3">
        <v>45464</v>
      </c>
      <c r="B500" t="s">
        <v>9</v>
      </c>
      <c r="C500" t="s">
        <v>15</v>
      </c>
      <c r="D500" t="s">
        <v>30</v>
      </c>
      <c r="E500">
        <v>9</v>
      </c>
      <c r="F500" s="7">
        <v>2062.87</v>
      </c>
      <c r="G500" s="7">
        <v>18565.830000000002</v>
      </c>
      <c r="H500" s="7">
        <v>2814.67</v>
      </c>
      <c r="I500" s="7">
        <f t="shared" si="7"/>
        <v>15751.160000000002</v>
      </c>
    </row>
    <row r="501" spans="1:9" x14ac:dyDescent="0.35">
      <c r="A501" s="3">
        <v>45464</v>
      </c>
      <c r="B501" t="s">
        <v>12</v>
      </c>
      <c r="C501" t="s">
        <v>15</v>
      </c>
      <c r="D501" t="s">
        <v>30</v>
      </c>
      <c r="E501">
        <v>5</v>
      </c>
      <c r="F501" s="7">
        <v>859.63</v>
      </c>
      <c r="G501" s="7">
        <v>4298.1499999999996</v>
      </c>
      <c r="H501" s="7">
        <v>635.4</v>
      </c>
      <c r="I501" s="7">
        <f t="shared" si="7"/>
        <v>3662.7499999999995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9BE8C-8EBD-4754-88CA-1927C97F6DED}">
  <dimension ref="A1:I17"/>
  <sheetViews>
    <sheetView workbookViewId="0">
      <selection sqref="A1:A7"/>
    </sheetView>
  </sheetViews>
  <sheetFormatPr defaultRowHeight="14.5" x14ac:dyDescent="0.35"/>
  <cols>
    <col min="1" max="1" width="52.90625" customWidth="1"/>
  </cols>
  <sheetData>
    <row r="1" spans="1:9" x14ac:dyDescent="0.35">
      <c r="A1" s="4" t="s">
        <v>32</v>
      </c>
      <c r="B1" s="4"/>
      <c r="C1" s="4"/>
      <c r="D1" s="4"/>
      <c r="E1" s="4"/>
      <c r="F1" s="4"/>
      <c r="G1" s="4"/>
      <c r="H1" s="4"/>
      <c r="I1" s="4"/>
    </row>
    <row r="2" spans="1:9" x14ac:dyDescent="0.35">
      <c r="A2" s="4" t="s">
        <v>33</v>
      </c>
      <c r="B2" s="4"/>
      <c r="C2" s="4"/>
      <c r="D2" s="4"/>
      <c r="E2" s="4"/>
      <c r="F2" s="4"/>
      <c r="G2" s="4"/>
      <c r="H2" s="4"/>
      <c r="I2" s="4"/>
    </row>
    <row r="3" spans="1:9" x14ac:dyDescent="0.35">
      <c r="A3" s="4" t="s">
        <v>34</v>
      </c>
      <c r="B3" s="4"/>
      <c r="C3" s="4"/>
      <c r="D3" s="4"/>
      <c r="E3" s="4"/>
      <c r="F3" s="4"/>
      <c r="G3" s="4"/>
      <c r="H3" s="4"/>
      <c r="I3" s="4"/>
    </row>
    <row r="4" spans="1:9" x14ac:dyDescent="0.35">
      <c r="A4" t="s">
        <v>35</v>
      </c>
      <c r="B4" s="4"/>
      <c r="C4" s="4"/>
      <c r="D4" s="4"/>
      <c r="E4" s="4"/>
      <c r="F4" s="4"/>
      <c r="G4" s="4"/>
      <c r="H4" s="4"/>
      <c r="I4" s="4"/>
    </row>
    <row r="5" spans="1:9" x14ac:dyDescent="0.35">
      <c r="A5" s="5" t="s">
        <v>36</v>
      </c>
      <c r="B5" s="4"/>
      <c r="C5" s="4"/>
      <c r="D5" s="4"/>
      <c r="E5" s="4"/>
      <c r="F5" s="4"/>
      <c r="G5" s="4"/>
      <c r="H5" s="4"/>
      <c r="I5" s="4"/>
    </row>
    <row r="6" spans="1:9" x14ac:dyDescent="0.35">
      <c r="B6" s="4"/>
      <c r="C6" s="4"/>
      <c r="D6" s="4"/>
      <c r="E6" s="4"/>
      <c r="F6" s="4"/>
      <c r="G6" s="4"/>
      <c r="H6" s="4"/>
      <c r="I6" s="4"/>
    </row>
    <row r="7" spans="1:9" x14ac:dyDescent="0.35">
      <c r="A7" s="5" t="s">
        <v>37</v>
      </c>
      <c r="B7" s="4"/>
      <c r="C7" s="4"/>
      <c r="D7" s="4"/>
      <c r="E7" s="4"/>
      <c r="F7" s="4"/>
      <c r="G7" s="4"/>
      <c r="H7" s="4"/>
      <c r="I7" s="4"/>
    </row>
    <row r="8" spans="1:9" x14ac:dyDescent="0.35">
      <c r="A8" s="4"/>
      <c r="B8" s="4"/>
      <c r="C8" s="4"/>
      <c r="D8" s="4"/>
      <c r="E8" s="4"/>
      <c r="F8" s="4"/>
      <c r="G8" s="4"/>
      <c r="H8" s="4"/>
      <c r="I8" s="4"/>
    </row>
    <row r="9" spans="1:9" x14ac:dyDescent="0.35">
      <c r="A9" s="4"/>
      <c r="B9" s="4"/>
      <c r="C9" s="4"/>
      <c r="D9" s="4"/>
      <c r="E9" s="4"/>
      <c r="F9" s="4"/>
      <c r="G9" s="4"/>
      <c r="H9" s="4"/>
      <c r="I9" s="4"/>
    </row>
    <row r="10" spans="1:9" x14ac:dyDescent="0.35">
      <c r="A10" s="4"/>
      <c r="B10" s="4"/>
      <c r="C10" s="4"/>
      <c r="D10" s="4"/>
      <c r="E10" s="4"/>
      <c r="F10" s="4"/>
      <c r="G10" s="4"/>
      <c r="H10" s="4"/>
      <c r="I10" s="4"/>
    </row>
    <row r="11" spans="1:9" x14ac:dyDescent="0.35">
      <c r="A11" s="4"/>
      <c r="B11" s="4"/>
      <c r="C11" s="4"/>
      <c r="D11" s="4"/>
      <c r="E11" s="4"/>
      <c r="F11" s="4"/>
      <c r="G11" s="4"/>
      <c r="H11" s="4"/>
      <c r="I11" s="4"/>
    </row>
    <row r="12" spans="1:9" x14ac:dyDescent="0.35">
      <c r="A12" s="4"/>
      <c r="B12" s="4"/>
      <c r="C12" s="4"/>
      <c r="D12" s="4"/>
      <c r="E12" s="4"/>
      <c r="F12" s="4"/>
      <c r="G12" s="4"/>
      <c r="H12" s="4"/>
      <c r="I12" s="4"/>
    </row>
    <row r="13" spans="1:9" x14ac:dyDescent="0.35">
      <c r="A13" s="4"/>
      <c r="B13" s="4"/>
      <c r="C13" s="4"/>
      <c r="D13" s="4"/>
      <c r="E13" s="4"/>
      <c r="F13" s="4"/>
      <c r="G13" s="4"/>
      <c r="H13" s="4"/>
      <c r="I13" s="4"/>
    </row>
    <row r="14" spans="1:9" x14ac:dyDescent="0.35">
      <c r="A14" s="4"/>
      <c r="B14" s="4"/>
      <c r="C14" s="4"/>
      <c r="D14" s="4"/>
      <c r="E14" s="4"/>
      <c r="F14" s="4"/>
      <c r="G14" s="4"/>
      <c r="H14" s="4"/>
      <c r="I14" s="4"/>
    </row>
    <row r="15" spans="1:9" x14ac:dyDescent="0.35">
      <c r="A15" s="4"/>
      <c r="B15" s="4"/>
      <c r="C15" s="4"/>
      <c r="D15" s="4"/>
      <c r="E15" s="4"/>
      <c r="F15" s="4"/>
      <c r="G15" s="4"/>
      <c r="H15" s="4"/>
      <c r="I15" s="4"/>
    </row>
    <row r="16" spans="1:9" x14ac:dyDescent="0.35">
      <c r="A16" s="4"/>
      <c r="B16" s="4"/>
      <c r="C16" s="4"/>
      <c r="D16" s="4"/>
      <c r="E16" s="4"/>
      <c r="F16" s="4"/>
      <c r="G16" s="4"/>
      <c r="H16" s="4"/>
      <c r="I16" s="4"/>
    </row>
    <row r="17" spans="1:9" x14ac:dyDescent="0.35">
      <c r="A17" s="4"/>
      <c r="B17" s="4"/>
      <c r="C17" s="4"/>
      <c r="D17" s="4"/>
      <c r="E17" s="4"/>
      <c r="F17" s="4"/>
      <c r="G17" s="4"/>
      <c r="H17" s="4"/>
      <c r="I17"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8A612-0594-46D4-B953-29E6B997B863}">
  <dimension ref="A1:H58"/>
  <sheetViews>
    <sheetView topLeftCell="A9" workbookViewId="0">
      <selection activeCell="D20" sqref="D20:D25"/>
      <pivotSelection pane="bottomRight" showHeader="1" axis="axisRow" activeRow="19" activeCol="3" previousRow="19" previousCol="3" click="1" r:id="rId1">
        <pivotArea dataOnly="0" labelOnly="1" fieldPosition="0">
          <references count="1">
            <reference field="11" count="0"/>
          </references>
        </pivotArea>
      </pivotSelection>
    </sheetView>
  </sheetViews>
  <sheetFormatPr defaultRowHeight="14.5" x14ac:dyDescent="0.35"/>
  <cols>
    <col min="1" max="1" width="17.7265625" bestFit="1" customWidth="1"/>
    <col min="2" max="2" width="18.6328125" bestFit="1" customWidth="1"/>
    <col min="3" max="3" width="17.54296875" bestFit="1" customWidth="1"/>
    <col min="4" max="4" width="20.26953125" bestFit="1" customWidth="1"/>
    <col min="5" max="5" width="21.81640625" bestFit="1" customWidth="1"/>
    <col min="6" max="6" width="14.453125" customWidth="1"/>
    <col min="7" max="7" width="15.54296875" customWidth="1"/>
    <col min="8" max="8" width="12.453125" customWidth="1"/>
  </cols>
  <sheetData>
    <row r="1" spans="1:8" x14ac:dyDescent="0.35">
      <c r="A1" s="10" t="s">
        <v>39</v>
      </c>
      <c r="B1" t="s">
        <v>38</v>
      </c>
      <c r="C1" t="s">
        <v>41</v>
      </c>
      <c r="D1" s="12" t="s">
        <v>42</v>
      </c>
    </row>
    <row r="2" spans="1:8" x14ac:dyDescent="0.35">
      <c r="A2" s="11" t="s">
        <v>17</v>
      </c>
      <c r="B2" s="13">
        <v>1018044.99</v>
      </c>
      <c r="C2" s="13">
        <v>174737.28</v>
      </c>
      <c r="D2" s="12">
        <v>0.1716400372443265</v>
      </c>
    </row>
    <row r="3" spans="1:8" x14ac:dyDescent="0.35">
      <c r="A3" s="11" t="s">
        <v>15</v>
      </c>
      <c r="B3" s="13">
        <v>936016.72999999986</v>
      </c>
      <c r="C3" s="13">
        <v>165796.36000000013</v>
      </c>
      <c r="D3" s="12">
        <v>0.17712969724376632</v>
      </c>
    </row>
    <row r="4" spans="1:8" x14ac:dyDescent="0.35">
      <c r="A4" s="11" t="s">
        <v>14</v>
      </c>
      <c r="B4" s="13">
        <v>1005457.8200000001</v>
      </c>
      <c r="C4" s="13">
        <v>170757.98000000019</v>
      </c>
      <c r="D4" s="12">
        <v>0.16983107257547628</v>
      </c>
    </row>
    <row r="5" spans="1:8" x14ac:dyDescent="0.35">
      <c r="A5" s="11" t="s">
        <v>16</v>
      </c>
      <c r="B5" s="13">
        <v>986924.26000000036</v>
      </c>
      <c r="C5" s="13">
        <v>174405.54999999996</v>
      </c>
      <c r="D5" s="12">
        <v>0.176716245682318</v>
      </c>
      <c r="E5" t="s">
        <v>51</v>
      </c>
      <c r="F5" t="s">
        <v>50</v>
      </c>
      <c r="G5" t="s">
        <v>52</v>
      </c>
      <c r="H5" t="s">
        <v>53</v>
      </c>
    </row>
    <row r="6" spans="1:8" x14ac:dyDescent="0.35">
      <c r="A6" s="11" t="s">
        <v>40</v>
      </c>
      <c r="B6" s="13">
        <v>3946443.7999999975</v>
      </c>
      <c r="C6" s="13">
        <v>685697.16999999993</v>
      </c>
      <c r="D6" s="12">
        <v>0.17375064862193157</v>
      </c>
      <c r="E6" s="13">
        <f>SUM(B2:B5)</f>
        <v>3946443.8000000003</v>
      </c>
      <c r="F6" s="13">
        <f>SUM(C2:C5)</f>
        <v>685697.17000000027</v>
      </c>
      <c r="G6" s="12">
        <f>AVERAGE(D2:D5)</f>
        <v>0.17382926318647177</v>
      </c>
      <c r="H6">
        <f>SUM(B20:B32)</f>
        <v>2703</v>
      </c>
    </row>
    <row r="9" spans="1:8" x14ac:dyDescent="0.35">
      <c r="A9" s="10" t="s">
        <v>39</v>
      </c>
      <c r="B9" t="s">
        <v>41</v>
      </c>
    </row>
    <row r="10" spans="1:8" x14ac:dyDescent="0.35">
      <c r="A10" s="11" t="s">
        <v>11</v>
      </c>
      <c r="B10" s="13">
        <v>137070.65000000005</v>
      </c>
      <c r="C10" t="str">
        <f>A10</f>
        <v>Victoria Island</v>
      </c>
    </row>
    <row r="11" spans="1:8" x14ac:dyDescent="0.35">
      <c r="A11" s="11" t="s">
        <v>13</v>
      </c>
      <c r="B11" s="13">
        <v>123297.00000000003</v>
      </c>
    </row>
    <row r="12" spans="1:8" x14ac:dyDescent="0.35">
      <c r="A12" s="11" t="s">
        <v>9</v>
      </c>
      <c r="B12" s="13">
        <v>119392.78999999996</v>
      </c>
    </row>
    <row r="13" spans="1:8" x14ac:dyDescent="0.35">
      <c r="A13" s="11" t="s">
        <v>10</v>
      </c>
      <c r="B13" s="13">
        <v>114781.80000000002</v>
      </c>
    </row>
    <row r="14" spans="1:8" x14ac:dyDescent="0.35">
      <c r="A14" s="11" t="s">
        <v>8</v>
      </c>
      <c r="B14" s="13">
        <v>101777.09999999998</v>
      </c>
    </row>
    <row r="15" spans="1:8" x14ac:dyDescent="0.35">
      <c r="A15" s="11" t="s">
        <v>12</v>
      </c>
      <c r="B15" s="13">
        <v>89377.830000000031</v>
      </c>
    </row>
    <row r="16" spans="1:8" x14ac:dyDescent="0.35">
      <c r="A16" s="11" t="s">
        <v>40</v>
      </c>
      <c r="B16" s="13">
        <v>685697.17000000016</v>
      </c>
      <c r="C16" s="13">
        <f>B16</f>
        <v>685697.17000000016</v>
      </c>
    </row>
    <row r="19" spans="1:5" x14ac:dyDescent="0.35">
      <c r="A19" s="10" t="s">
        <v>39</v>
      </c>
      <c r="B19" t="s">
        <v>43</v>
      </c>
      <c r="D19" s="10" t="s">
        <v>39</v>
      </c>
      <c r="E19" t="s">
        <v>38</v>
      </c>
    </row>
    <row r="20" spans="1:5" x14ac:dyDescent="0.35">
      <c r="A20" s="11" t="s">
        <v>28</v>
      </c>
      <c r="B20" s="9">
        <v>351</v>
      </c>
      <c r="D20" s="11" t="s">
        <v>44</v>
      </c>
      <c r="E20" s="13">
        <v>602898.66999999981</v>
      </c>
    </row>
    <row r="21" spans="1:5" x14ac:dyDescent="0.35">
      <c r="A21" s="11" t="s">
        <v>27</v>
      </c>
      <c r="B21" s="9">
        <v>328</v>
      </c>
      <c r="D21" s="11" t="s">
        <v>45</v>
      </c>
      <c r="E21" s="13">
        <v>655517.68999999971</v>
      </c>
    </row>
    <row r="22" spans="1:5" x14ac:dyDescent="0.35">
      <c r="A22" s="11" t="s">
        <v>25</v>
      </c>
      <c r="B22" s="9">
        <v>255</v>
      </c>
      <c r="D22" s="11" t="s">
        <v>46</v>
      </c>
      <c r="E22" s="13">
        <v>696984.52</v>
      </c>
    </row>
    <row r="23" spans="1:5" x14ac:dyDescent="0.35">
      <c r="A23" s="11" t="s">
        <v>20</v>
      </c>
      <c r="B23" s="9">
        <v>215</v>
      </c>
      <c r="D23" s="11" t="s">
        <v>47</v>
      </c>
      <c r="E23" s="13">
        <v>836012.88000000024</v>
      </c>
    </row>
    <row r="24" spans="1:5" x14ac:dyDescent="0.35">
      <c r="A24" s="11" t="s">
        <v>18</v>
      </c>
      <c r="B24" s="9">
        <v>208</v>
      </c>
      <c r="D24" s="11" t="s">
        <v>48</v>
      </c>
      <c r="E24" s="13">
        <v>719357.41000000015</v>
      </c>
    </row>
    <row r="25" spans="1:5" x14ac:dyDescent="0.35">
      <c r="A25" s="11" t="s">
        <v>26</v>
      </c>
      <c r="B25" s="9">
        <v>206</v>
      </c>
      <c r="D25" s="11" t="s">
        <v>49</v>
      </c>
      <c r="E25" s="13">
        <v>435672.63000000018</v>
      </c>
    </row>
    <row r="26" spans="1:5" x14ac:dyDescent="0.35">
      <c r="A26" s="11" t="s">
        <v>19</v>
      </c>
      <c r="B26" s="9">
        <v>184</v>
      </c>
      <c r="D26" s="11" t="s">
        <v>40</v>
      </c>
      <c r="E26" s="13">
        <v>3946443.8000000003</v>
      </c>
    </row>
    <row r="27" spans="1:5" x14ac:dyDescent="0.35">
      <c r="A27" s="11" t="s">
        <v>30</v>
      </c>
      <c r="B27" s="9">
        <v>180</v>
      </c>
    </row>
    <row r="28" spans="1:5" x14ac:dyDescent="0.35">
      <c r="A28" s="11" t="s">
        <v>29</v>
      </c>
      <c r="B28" s="9">
        <v>177</v>
      </c>
    </row>
    <row r="29" spans="1:5" x14ac:dyDescent="0.35">
      <c r="A29" s="11" t="s">
        <v>23</v>
      </c>
      <c r="B29" s="9">
        <v>169</v>
      </c>
    </row>
    <row r="30" spans="1:5" x14ac:dyDescent="0.35">
      <c r="A30" s="11" t="s">
        <v>22</v>
      </c>
      <c r="B30" s="9">
        <v>165</v>
      </c>
    </row>
    <row r="31" spans="1:5" x14ac:dyDescent="0.35">
      <c r="A31" s="11" t="s">
        <v>24</v>
      </c>
      <c r="B31" s="9">
        <v>160</v>
      </c>
    </row>
    <row r="32" spans="1:5" x14ac:dyDescent="0.35">
      <c r="A32" s="11" t="s">
        <v>21</v>
      </c>
      <c r="B32" s="9">
        <v>105</v>
      </c>
      <c r="C32">
        <f>GETPIVOTDATA("Quantity Sold", $B$33)</f>
        <v>2703</v>
      </c>
    </row>
    <row r="33" spans="1:3" x14ac:dyDescent="0.35">
      <c r="A33" s="11" t="s">
        <v>40</v>
      </c>
      <c r="B33" s="9">
        <v>2703</v>
      </c>
      <c r="C33">
        <f>B33</f>
        <v>2703</v>
      </c>
    </row>
    <row r="36" spans="1:3" x14ac:dyDescent="0.35">
      <c r="A36" s="10" t="s">
        <v>39</v>
      </c>
      <c r="B36" t="s">
        <v>38</v>
      </c>
    </row>
    <row r="37" spans="1:3" x14ac:dyDescent="0.35">
      <c r="A37" s="11" t="s">
        <v>17</v>
      </c>
      <c r="B37" s="13">
        <v>1018044.99</v>
      </c>
    </row>
    <row r="38" spans="1:3" x14ac:dyDescent="0.35">
      <c r="A38" s="11" t="s">
        <v>14</v>
      </c>
      <c r="B38" s="13">
        <v>1005457.8200000001</v>
      </c>
    </row>
    <row r="39" spans="1:3" x14ac:dyDescent="0.35">
      <c r="A39" s="11" t="s">
        <v>16</v>
      </c>
      <c r="B39" s="13">
        <v>986924.26000000036</v>
      </c>
    </row>
    <row r="40" spans="1:3" x14ac:dyDescent="0.35">
      <c r="A40" s="11" t="s">
        <v>15</v>
      </c>
      <c r="B40" s="13">
        <v>936016.72999999986</v>
      </c>
    </row>
    <row r="41" spans="1:3" x14ac:dyDescent="0.35">
      <c r="A41" s="11" t="s">
        <v>40</v>
      </c>
      <c r="B41" s="13">
        <v>3946443.8000000003</v>
      </c>
      <c r="C41" s="13">
        <f>B41</f>
        <v>3946443.8000000003</v>
      </c>
    </row>
    <row r="44" spans="1:3" x14ac:dyDescent="0.35">
      <c r="A44" s="10" t="s">
        <v>39</v>
      </c>
      <c r="B44" t="s">
        <v>38</v>
      </c>
    </row>
    <row r="45" spans="1:3" x14ac:dyDescent="0.35">
      <c r="A45" s="11" t="s">
        <v>28</v>
      </c>
      <c r="B45" s="13">
        <v>554595.55999999994</v>
      </c>
    </row>
    <row r="46" spans="1:3" x14ac:dyDescent="0.35">
      <c r="A46" s="11" t="s">
        <v>27</v>
      </c>
      <c r="B46" s="13">
        <v>463449.42999999993</v>
      </c>
    </row>
    <row r="47" spans="1:3" x14ac:dyDescent="0.35">
      <c r="A47" s="11" t="s">
        <v>25</v>
      </c>
      <c r="B47" s="13">
        <v>380140.76000000013</v>
      </c>
    </row>
    <row r="48" spans="1:3" x14ac:dyDescent="0.35">
      <c r="A48" s="11" t="s">
        <v>26</v>
      </c>
      <c r="B48" s="13">
        <v>341001.69</v>
      </c>
    </row>
    <row r="49" spans="1:3" x14ac:dyDescent="0.35">
      <c r="A49" s="11" t="s">
        <v>20</v>
      </c>
      <c r="B49" s="13">
        <v>314186.14000000013</v>
      </c>
    </row>
    <row r="50" spans="1:3" x14ac:dyDescent="0.35">
      <c r="A50" s="11" t="s">
        <v>18</v>
      </c>
      <c r="B50" s="13">
        <v>289562.77</v>
      </c>
    </row>
    <row r="51" spans="1:3" x14ac:dyDescent="0.35">
      <c r="A51" s="11" t="s">
        <v>30</v>
      </c>
      <c r="B51" s="13">
        <v>276325.01999999996</v>
      </c>
    </row>
    <row r="52" spans="1:3" x14ac:dyDescent="0.35">
      <c r="A52" s="11" t="s">
        <v>29</v>
      </c>
      <c r="B52" s="13">
        <v>265781.81</v>
      </c>
    </row>
    <row r="53" spans="1:3" x14ac:dyDescent="0.35">
      <c r="A53" s="11" t="s">
        <v>19</v>
      </c>
      <c r="B53" s="13">
        <v>258363.69</v>
      </c>
    </row>
    <row r="54" spans="1:3" x14ac:dyDescent="0.35">
      <c r="A54" s="11" t="s">
        <v>22</v>
      </c>
      <c r="B54" s="13">
        <v>246639.70000000004</v>
      </c>
    </row>
    <row r="55" spans="1:3" x14ac:dyDescent="0.35">
      <c r="A55" s="11" t="s">
        <v>24</v>
      </c>
      <c r="B55" s="13">
        <v>214633.16999999998</v>
      </c>
    </row>
    <row r="56" spans="1:3" x14ac:dyDescent="0.35">
      <c r="A56" s="11" t="s">
        <v>23</v>
      </c>
      <c r="B56" s="13">
        <v>198418.84</v>
      </c>
    </row>
    <row r="57" spans="1:3" x14ac:dyDescent="0.35">
      <c r="A57" s="11" t="s">
        <v>21</v>
      </c>
      <c r="B57" s="13">
        <v>143345.22</v>
      </c>
    </row>
    <row r="58" spans="1:3" x14ac:dyDescent="0.35">
      <c r="A58" s="11" t="s">
        <v>40</v>
      </c>
      <c r="B58" s="13">
        <v>3946443.8000000003</v>
      </c>
      <c r="C58" s="13">
        <f>B58</f>
        <v>3946443.8000000003</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FD375-E5C5-4224-A0F2-C8ABE22529A2}">
  <dimension ref="H6:Q15"/>
  <sheetViews>
    <sheetView showGridLines="0" tabSelected="1" zoomScale="70" zoomScaleNormal="70" workbookViewId="0">
      <selection activeCell="AB2" sqref="AB2"/>
    </sheetView>
  </sheetViews>
  <sheetFormatPr defaultRowHeight="14.5" x14ac:dyDescent="0.35"/>
  <cols>
    <col min="1" max="1" width="8.7265625" customWidth="1"/>
    <col min="5" max="8" width="8.7265625" customWidth="1"/>
    <col min="12" max="12" width="9.81640625" customWidth="1"/>
    <col min="24" max="24" width="8.7265625" customWidth="1"/>
  </cols>
  <sheetData>
    <row r="6" spans="11:17" ht="14" customHeight="1" x14ac:dyDescent="0.35"/>
    <row r="10" spans="11:17" x14ac:dyDescent="0.35">
      <c r="K10" s="15"/>
    </row>
    <row r="15" spans="11:17" x14ac:dyDescent="0.35">
      <c r="Q15"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questions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omoze</dc:creator>
  <cp:lastModifiedBy>Ogwogho Omoze</cp:lastModifiedBy>
  <dcterms:created xsi:type="dcterms:W3CDTF">2025-05-20T17:18:55Z</dcterms:created>
  <dcterms:modified xsi:type="dcterms:W3CDTF">2026-08-27T00:31:31Z</dcterms:modified>
</cp:coreProperties>
</file>